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 Files\OpenDominion\"/>
    </mc:Choice>
  </mc:AlternateContent>
  <xr:revisionPtr revIDLastSave="0" documentId="13_ncr:1_{FA143039-CEBB-4769-AB0A-D46C03F872A5}" xr6:coauthVersionLast="45" xr6:coauthVersionMax="45" xr10:uidLastSave="{00000000-0000-0000-0000-000000000000}"/>
  <bookViews>
    <workbookView xWindow="-16320" yWindow="-1515" windowWidth="16440" windowHeight="28440" xr2:uid="{00000000-000D-0000-FFFF-FFFF00000000}"/>
  </bookViews>
  <sheets>
    <sheet name="Calculator" sheetId="1" r:id="rId1"/>
    <sheet name="Races" sheetId="2" r:id="rId2"/>
  </sheets>
  <externalReferences>
    <externalReference r:id="rId3"/>
  </externalReferences>
  <definedNames>
    <definedName name="DefSpells">Calculator!$B$59:$B$63</definedName>
    <definedName name="nox_nightshade_cap">[1]Constants!$F$118</definedName>
    <definedName name="nox_nightshade_swamp_bonus">[1]Constants!$C$118</definedName>
    <definedName name="OffSpells">Calculator!$F$59:$F$67</definedName>
    <definedName name="races">Races!$A$85:$A$104</definedName>
    <definedName name="Techs">Calculator!$A$67:$A$69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3" i="1" l="1"/>
  <c r="A17" i="1" l="1"/>
  <c r="G17" i="1"/>
  <c r="G20" i="1" l="1"/>
  <c r="A20" i="1"/>
  <c r="B27" i="1" l="1"/>
  <c r="E56" i="1"/>
  <c r="A8" i="1" l="1"/>
  <c r="C8" i="1" s="1"/>
  <c r="A9" i="1"/>
  <c r="G34" i="1" l="1"/>
  <c r="M14" i="1" l="1"/>
  <c r="L14" i="1"/>
  <c r="G56" i="1" l="1"/>
  <c r="F41" i="1" l="1"/>
  <c r="E55" i="1"/>
  <c r="E42" i="1"/>
  <c r="B19" i="1"/>
  <c r="B26" i="1" s="1"/>
  <c r="H19" i="1"/>
  <c r="H26" i="1" s="1"/>
  <c r="H54" i="1" l="1"/>
  <c r="G54" i="1"/>
  <c r="H55" i="1"/>
  <c r="G55" i="1"/>
  <c r="G35" i="1" l="1"/>
  <c r="G8" i="1"/>
  <c r="I8" i="1" s="1"/>
  <c r="E53" i="1"/>
  <c r="F52" i="1"/>
  <c r="F48" i="1"/>
  <c r="F49" i="1"/>
  <c r="F46" i="1"/>
  <c r="F45" i="1"/>
  <c r="F44" i="1"/>
  <c r="F43" i="1"/>
  <c r="F42" i="1"/>
  <c r="E45" i="1"/>
  <c r="H42" i="1"/>
  <c r="H47" i="1"/>
  <c r="H53" i="1"/>
  <c r="G53" i="1"/>
  <c r="G47" i="1"/>
  <c r="G42" i="1"/>
  <c r="H43" i="1"/>
  <c r="H44" i="1"/>
  <c r="H45" i="1"/>
  <c r="H46" i="1"/>
  <c r="H48" i="1"/>
  <c r="H49" i="1"/>
  <c r="H52" i="1"/>
  <c r="H41" i="1"/>
  <c r="G43" i="1"/>
  <c r="G44" i="1"/>
  <c r="G45" i="1"/>
  <c r="G46" i="1"/>
  <c r="G48" i="1"/>
  <c r="G49" i="1"/>
  <c r="G52" i="1"/>
  <c r="G41" i="1"/>
  <c r="H27" i="1"/>
  <c r="I82" i="2" l="1"/>
  <c r="I81" i="2"/>
  <c r="I78" i="2"/>
  <c r="I77" i="2"/>
  <c r="I74" i="2"/>
  <c r="I73" i="2"/>
  <c r="I70" i="2"/>
  <c r="I69" i="2"/>
  <c r="I66" i="2"/>
  <c r="I65" i="2"/>
  <c r="I62" i="2"/>
  <c r="I61" i="2"/>
  <c r="I58" i="2"/>
  <c r="I57" i="2"/>
  <c r="I54" i="2"/>
  <c r="I53" i="2"/>
  <c r="I50" i="2"/>
  <c r="I49" i="2"/>
  <c r="I46" i="2"/>
  <c r="I45" i="2"/>
  <c r="I42" i="2"/>
  <c r="I41" i="2"/>
  <c r="I38" i="2"/>
  <c r="I37" i="2"/>
  <c r="I34" i="2"/>
  <c r="I33" i="2"/>
  <c r="I30" i="2"/>
  <c r="I26" i="2"/>
  <c r="I25" i="2"/>
  <c r="I22" i="2"/>
  <c r="I18" i="2"/>
  <c r="I17" i="2"/>
  <c r="I14" i="2"/>
  <c r="I13" i="2"/>
  <c r="I10" i="2"/>
  <c r="I9" i="2"/>
  <c r="I6" i="2"/>
  <c r="I5" i="2"/>
  <c r="G9" i="1"/>
  <c r="I9" i="1" l="1"/>
  <c r="C9" i="1"/>
  <c r="A10" i="1"/>
  <c r="G10" i="1"/>
  <c r="E47" i="1" l="1"/>
  <c r="I10" i="1"/>
  <c r="C10" i="1"/>
  <c r="G11" i="1"/>
  <c r="A11" i="1"/>
  <c r="C11" i="1" l="1"/>
  <c r="B25" i="1" s="1"/>
  <c r="I11" i="1"/>
  <c r="H25" i="1" s="1"/>
  <c r="H29" i="1" l="1"/>
  <c r="B29" i="1"/>
  <c r="B33" i="1" l="1"/>
  <c r="G31" i="1"/>
</calcChain>
</file>

<file path=xl/sharedStrings.xml><?xml version="1.0" encoding="utf-8"?>
<sst xmlns="http://schemas.openxmlformats.org/spreadsheetml/2006/main" count="310" uniqueCount="189">
  <si>
    <t>Identification</t>
  </si>
  <si>
    <t>Military Units</t>
  </si>
  <si>
    <t>Name</t>
  </si>
  <si>
    <t>Alignment</t>
  </si>
  <si>
    <t>Land Type</t>
  </si>
  <si>
    <t>Offense</t>
  </si>
  <si>
    <t>Defense</t>
  </si>
  <si>
    <t>Plat</t>
  </si>
  <si>
    <t>Ore</t>
  </si>
  <si>
    <t>Networth</t>
  </si>
  <si>
    <t>Human</t>
  </si>
  <si>
    <t>Good</t>
  </si>
  <si>
    <t>Plain</t>
  </si>
  <si>
    <t>Spearman</t>
  </si>
  <si>
    <t>Archer</t>
  </si>
  <si>
    <t>Knight</t>
  </si>
  <si>
    <t>Cavalry</t>
  </si>
  <si>
    <t>Nomad</t>
  </si>
  <si>
    <t>Evil</t>
  </si>
  <si>
    <t>Fighter</t>
  </si>
  <si>
    <t>Crossbowman</t>
  </si>
  <si>
    <t>Blademaster</t>
  </si>
  <si>
    <t>Valkyrie</t>
  </si>
  <si>
    <t>Dwarf</t>
  </si>
  <si>
    <t>Mountain</t>
  </si>
  <si>
    <t>Soldier</t>
  </si>
  <si>
    <t>Miner</t>
  </si>
  <si>
    <t>Cleric</t>
  </si>
  <si>
    <t>Warrior</t>
  </si>
  <si>
    <t>Wood Elf</t>
  </si>
  <si>
    <t>Forest</t>
  </si>
  <si>
    <t>Ranger</t>
  </si>
  <si>
    <t>Longbowman</t>
  </si>
  <si>
    <t>Mystic</t>
  </si>
  <si>
    <t>Druid</t>
  </si>
  <si>
    <t>Halfling</t>
  </si>
  <si>
    <t>Hill</t>
  </si>
  <si>
    <t>Slinger</t>
  </si>
  <si>
    <t>Defender</t>
  </si>
  <si>
    <t>Master Thief</t>
  </si>
  <si>
    <t>Staff Master</t>
  </si>
  <si>
    <t>Gnome</t>
  </si>
  <si>
    <t>Suicide Squad</t>
  </si>
  <si>
    <t>Tinker</t>
  </si>
  <si>
    <t>Rockapult</t>
  </si>
  <si>
    <t>Juggernaut</t>
  </si>
  <si>
    <t>Merfolk</t>
  </si>
  <si>
    <t>Water</t>
  </si>
  <si>
    <t>Mermen</t>
  </si>
  <si>
    <t>Sirens</t>
  </si>
  <si>
    <t>Leviathan</t>
  </si>
  <si>
    <t>Kraken</t>
  </si>
  <si>
    <t>Sylvan</t>
  </si>
  <si>
    <t>Satyr</t>
  </si>
  <si>
    <t>Sprite</t>
  </si>
  <si>
    <t>Dryad</t>
  </si>
  <si>
    <t>Centaur</t>
  </si>
  <si>
    <t>Goblin</t>
  </si>
  <si>
    <t>Raider</t>
  </si>
  <si>
    <t>Shaman</t>
  </si>
  <si>
    <t>Hobgoblin</t>
  </si>
  <si>
    <t>Wolf Rider</t>
  </si>
  <si>
    <t>Troll</t>
  </si>
  <si>
    <t>Brute</t>
  </si>
  <si>
    <t>Ogre</t>
  </si>
  <si>
    <t>Basher</t>
  </si>
  <si>
    <t>Smasher</t>
  </si>
  <si>
    <t>Dark Elf</t>
  </si>
  <si>
    <t>Cavern</t>
  </si>
  <si>
    <t>Swordsman</t>
  </si>
  <si>
    <t>Gargoyle</t>
  </si>
  <si>
    <t>Adept</t>
  </si>
  <si>
    <t>Spirit Warrior</t>
  </si>
  <si>
    <t>Undead</t>
  </si>
  <si>
    <t>Swamp</t>
  </si>
  <si>
    <t>Skeleton</t>
  </si>
  <si>
    <t>Ghoul</t>
  </si>
  <si>
    <t>Progeny</t>
  </si>
  <si>
    <t>Vampire</t>
  </si>
  <si>
    <t>Spirit</t>
  </si>
  <si>
    <t>Phantom</t>
  </si>
  <si>
    <t>Banshee</t>
  </si>
  <si>
    <t>Ghost</t>
  </si>
  <si>
    <t>Spectre</t>
  </si>
  <si>
    <t>Lycanthrope</t>
  </si>
  <si>
    <t>Scavenger</t>
  </si>
  <si>
    <t>Ratman</t>
  </si>
  <si>
    <t>Werewolf</t>
  </si>
  <si>
    <t>Garou</t>
  </si>
  <si>
    <t>Kobold</t>
  </si>
  <si>
    <t>Grunt</t>
  </si>
  <si>
    <t>Underling</t>
  </si>
  <si>
    <t>Beast</t>
  </si>
  <si>
    <t>Overlord</t>
  </si>
  <si>
    <t>Lizardfolk</t>
  </si>
  <si>
    <t>Reptile</t>
  </si>
  <si>
    <t>Serpent</t>
  </si>
  <si>
    <t>Chameleon</t>
  </si>
  <si>
    <t>Lizardman</t>
  </si>
  <si>
    <t>Icekin</t>
  </si>
  <si>
    <t>Ice Beast</t>
  </si>
  <si>
    <t>Snow Witch</t>
  </si>
  <si>
    <t>Frost Mage</t>
  </si>
  <si>
    <t>Ice Elemental</t>
  </si>
  <si>
    <t>Firewalker</t>
  </si>
  <si>
    <t>Fire Spirit</t>
  </si>
  <si>
    <t>Flamewolf</t>
  </si>
  <si>
    <t>Phoenix</t>
  </si>
  <si>
    <t>Salamander</t>
  </si>
  <si>
    <t>Orc</t>
  </si>
  <si>
    <t>Savage</t>
  </si>
  <si>
    <t>Guard</t>
  </si>
  <si>
    <t>Voodoo Magi</t>
  </si>
  <si>
    <t>Bone Breaker</t>
  </si>
  <si>
    <t>Nox</t>
  </si>
  <si>
    <t>Imp</t>
  </si>
  <si>
    <t>Fiend</t>
  </si>
  <si>
    <t>Nightshade</t>
  </si>
  <si>
    <t>Lich</t>
  </si>
  <si>
    <t>Race:</t>
  </si>
  <si>
    <t>Unit Name</t>
  </si>
  <si>
    <t>Draftees</t>
  </si>
  <si>
    <t>Acres:</t>
  </si>
  <si>
    <t>GT:</t>
  </si>
  <si>
    <t>Walls:</t>
  </si>
  <si>
    <t>%</t>
  </si>
  <si>
    <t>Morale:</t>
  </si>
  <si>
    <t>Raw DP:</t>
  </si>
  <si>
    <t>Mods:</t>
  </si>
  <si>
    <t>Morale Mod:</t>
  </si>
  <si>
    <t>Total DP:</t>
  </si>
  <si>
    <t>Attacker</t>
  </si>
  <si>
    <t>Total OP:</t>
  </si>
  <si>
    <t>Special Bonuses</t>
  </si>
  <si>
    <t>Land related</t>
  </si>
  <si>
    <t>race</t>
  </si>
  <si>
    <t>unit</t>
  </si>
  <si>
    <t>offense</t>
  </si>
  <si>
    <t>defense</t>
  </si>
  <si>
    <t>Unit related</t>
  </si>
  <si>
    <t>Beasts</t>
  </si>
  <si>
    <t>Overlords</t>
  </si>
  <si>
    <t>attacker</t>
  </si>
  <si>
    <t>defender</t>
  </si>
  <si>
    <t>modifier</t>
  </si>
  <si>
    <t>max</t>
  </si>
  <si>
    <t>Forest:</t>
  </si>
  <si>
    <t>Mountain:</t>
  </si>
  <si>
    <t>WG:</t>
  </si>
  <si>
    <t>Prestige:</t>
  </si>
  <si>
    <t>Swamp:</t>
  </si>
  <si>
    <t>GN:</t>
  </si>
  <si>
    <t>Forges:</t>
  </si>
  <si>
    <t>Racial:</t>
  </si>
  <si>
    <t>OP</t>
  </si>
  <si>
    <t>DP</t>
  </si>
  <si>
    <t>Based on available inputs your attack will:</t>
  </si>
  <si>
    <t>Raw OP:</t>
  </si>
  <si>
    <t>Temples:</t>
  </si>
  <si>
    <t>Changelog:</t>
  </si>
  <si>
    <t>Conquered Land:</t>
  </si>
  <si>
    <t>OP/DP Ratio:</t>
  </si>
  <si>
    <t>Ares' Call</t>
  </si>
  <si>
    <t>Blizzard</t>
  </si>
  <si>
    <t>None</t>
  </si>
  <si>
    <t>Frenzy</t>
  </si>
  <si>
    <t>Howling</t>
  </si>
  <si>
    <t>Crusade</t>
  </si>
  <si>
    <t>Bloodrage</t>
  </si>
  <si>
    <t>Killing Rage</t>
  </si>
  <si>
    <t>Warsong</t>
  </si>
  <si>
    <t>Nightfall</t>
  </si>
  <si>
    <t>Generated Land (est):</t>
  </si>
  <si>
    <t>Total Land (est.):</t>
  </si>
  <si>
    <t>v1.0</t>
  </si>
  <si>
    <t>Tech:</t>
  </si>
  <si>
    <t>Military Genius</t>
  </si>
  <si>
    <t>Magical Weaponry</t>
  </si>
  <si>
    <t>CS:</t>
  </si>
  <si>
    <t>BS</t>
  </si>
  <si>
    <t>Home</t>
  </si>
  <si>
    <t>Away</t>
  </si>
  <si>
    <t>Unholy Ghost</t>
  </si>
  <si>
    <t>Updated land DP formula</t>
  </si>
  <si>
    <t>Added BS side-calc</t>
  </si>
  <si>
    <t>Updated landgen calc</t>
  </si>
  <si>
    <t>War:</t>
  </si>
  <si>
    <t>Added war bonuses (OP + land)</t>
  </si>
  <si>
    <t>Yami's OpenDominion Attack Calculator (Round 19 v1.0)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</si>
</sst>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2" x14ac:knownFonts="1">
    <font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i/>
      <u/>
      <sz val="10"/>
      <color theme="0" tint="-4.9989318521683403E-2"/>
      <name val="Arial"/>
      <family val="2"/>
    </font>
    <font>
      <u/>
      <sz val="10"/>
      <color theme="0" tint="-4.9989318521683403E-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1" xfId="0" applyFont="1" applyBorder="1"/>
    <xf numFmtId="0" fontId="1" fillId="0" borderId="0" xfId="0" applyFont="1"/>
    <xf numFmtId="0" fontId="2" fillId="0" borderId="1" xfId="0" applyFont="1" applyBorder="1"/>
    <xf numFmtId="0" fontId="2" fillId="0" borderId="0" xfId="0" applyFont="1"/>
    <xf numFmtId="0" fontId="2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quotePrefix="1" applyBorder="1"/>
    <xf numFmtId="0" fontId="0" fillId="0" borderId="14" xfId="0" quotePrefix="1" applyBorder="1"/>
    <xf numFmtId="0" fontId="2" fillId="0" borderId="2" xfId="0" applyFont="1" applyBorder="1"/>
    <xf numFmtId="0" fontId="3" fillId="0" borderId="0" xfId="0" applyFont="1"/>
    <xf numFmtId="0" fontId="2" fillId="0" borderId="0" xfId="0" applyFont="1" applyFill="1" applyBorder="1"/>
    <xf numFmtId="0" fontId="0" fillId="0" borderId="0" xfId="0" applyFill="1"/>
    <xf numFmtId="0" fontId="4" fillId="2" borderId="16" xfId="0" applyFont="1" applyFill="1" applyBorder="1"/>
    <xf numFmtId="0" fontId="4" fillId="2" borderId="17" xfId="0" applyFont="1" applyFill="1" applyBorder="1"/>
    <xf numFmtId="0" fontId="4" fillId="0" borderId="0" xfId="0" applyFont="1"/>
    <xf numFmtId="0" fontId="0" fillId="0" borderId="15" xfId="0" applyFill="1" applyBorder="1"/>
    <xf numFmtId="0" fontId="0" fillId="0" borderId="0" xfId="0" quotePrefix="1" applyBorder="1"/>
    <xf numFmtId="0" fontId="0" fillId="0" borderId="0" xfId="0" applyFill="1" applyBorder="1"/>
    <xf numFmtId="0" fontId="4" fillId="0" borderId="17" xfId="0" applyFont="1" applyBorder="1"/>
    <xf numFmtId="0" fontId="0" fillId="3" borderId="18" xfId="0" applyFill="1" applyBorder="1"/>
    <xf numFmtId="0" fontId="4" fillId="3" borderId="16" xfId="0" applyFont="1" applyFill="1" applyBorder="1"/>
    <xf numFmtId="0" fontId="0" fillId="4" borderId="15" xfId="0" applyFill="1" applyBorder="1"/>
    <xf numFmtId="0" fontId="0" fillId="4" borderId="15" xfId="0" applyFont="1" applyFill="1" applyBorder="1"/>
    <xf numFmtId="0" fontId="5" fillId="4" borderId="15" xfId="0" applyFont="1" applyFill="1" applyBorder="1" applyAlignment="1">
      <alignment horizontal="center"/>
    </xf>
    <xf numFmtId="9" fontId="0" fillId="0" borderId="0" xfId="0" applyNumberFormat="1"/>
    <xf numFmtId="0" fontId="0" fillId="0" borderId="0" xfId="0" applyFont="1"/>
    <xf numFmtId="0" fontId="0" fillId="0" borderId="19" xfId="0" applyFill="1" applyBorder="1"/>
    <xf numFmtId="0" fontId="0" fillId="5" borderId="15" xfId="0" applyFill="1" applyBorder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15" xfId="0" applyFont="1" applyFill="1" applyBorder="1"/>
    <xf numFmtId="0" fontId="0" fillId="0" borderId="0" xfId="0" applyFont="1" applyFill="1" applyBorder="1"/>
    <xf numFmtId="164" fontId="0" fillId="0" borderId="0" xfId="0" applyNumberFormat="1"/>
    <xf numFmtId="0" fontId="9" fillId="0" borderId="0" xfId="0" applyFont="1"/>
    <xf numFmtId="0" fontId="10" fillId="0" borderId="0" xfId="0" applyFont="1"/>
    <xf numFmtId="0" fontId="9" fillId="0" borderId="0" xfId="0" applyFont="1" applyAlignment="1">
      <alignment horizontal="center"/>
    </xf>
    <xf numFmtId="0" fontId="11" fillId="0" borderId="0" xfId="0" applyFont="1"/>
    <xf numFmtId="9" fontId="9" fillId="0" borderId="0" xfId="0" applyNumberFormat="1" applyFont="1"/>
    <xf numFmtId="2" fontId="9" fillId="0" borderId="0" xfId="0" applyNumberFormat="1" applyFont="1"/>
    <xf numFmtId="0" fontId="8" fillId="0" borderId="0" xfId="0" applyFont="1"/>
    <xf numFmtId="0" fontId="9" fillId="0" borderId="0" xfId="0" applyNumberFormat="1" applyFont="1"/>
    <xf numFmtId="0" fontId="9" fillId="0" borderId="0" xfId="0" applyFont="1" applyFill="1"/>
    <xf numFmtId="0" fontId="0" fillId="0" borderId="0" xfId="0" applyNumberFormat="1"/>
    <xf numFmtId="0" fontId="8" fillId="0" borderId="0" xfId="0" applyFont="1" applyAlignment="1"/>
    <xf numFmtId="0" fontId="9" fillId="0" borderId="0" xfId="0" applyFont="1" applyAlignment="1"/>
  </cellXfs>
  <cellStyles count="1"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A$50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3" lockText="1" noThreeD="1"/>
</file>

<file path=xl/ctrlProps/ctrlProp4.xml><?xml version="1.0" encoding="utf-8"?>
<formControlPr xmlns="http://schemas.microsoft.com/office/spreadsheetml/2009/9/main" objectType="CheckBox" fmlaLink="$I$23" lockText="1" noThreeD="1"/>
</file>

<file path=xl/ctrlProps/ctrlProp5.xml><?xml version="1.0" encoding="utf-8"?>
<formControlPr xmlns="http://schemas.microsoft.com/office/spreadsheetml/2009/9/main" objectType="CheckBox" checked="Checked" fmlaLink="$I$17" lockText="1" noThreeD="1"/>
</file>

<file path=xl/ctrlProps/ctrlProp6.xml><?xml version="1.0" encoding="utf-8"?>
<formControlPr xmlns="http://schemas.microsoft.com/office/spreadsheetml/2009/9/main" objectType="CheckBox" checked="Checked" fmlaLink="$C$1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123825</xdr:rowOff>
        </xdr:from>
        <xdr:to>
          <xdr:col>4</xdr:col>
          <xdr:colOff>457200</xdr:colOff>
          <xdr:row>21</xdr:row>
          <xdr:rowOff>19050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Add reduction to DP modifiers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2</xdr:row>
          <xdr:rowOff>66675</xdr:rowOff>
        </xdr:from>
        <xdr:to>
          <xdr:col>10</xdr:col>
          <xdr:colOff>581025</xdr:colOff>
          <xdr:row>3</xdr:row>
          <xdr:rowOff>114300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133350</xdr:rowOff>
        </xdr:from>
        <xdr:to>
          <xdr:col>1</xdr:col>
          <xdr:colOff>514350</xdr:colOff>
          <xdr:row>23</xdr:row>
          <xdr:rowOff>28575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21</xdr:row>
          <xdr:rowOff>133350</xdr:rowOff>
        </xdr:from>
        <xdr:to>
          <xdr:col>7</xdr:col>
          <xdr:colOff>514350</xdr:colOff>
          <xdr:row>23</xdr:row>
          <xdr:rowOff>28575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15</xdr:row>
          <xdr:rowOff>133350</xdr:rowOff>
        </xdr:from>
        <xdr:to>
          <xdr:col>7</xdr:col>
          <xdr:colOff>514350</xdr:colOff>
          <xdr:row>17</xdr:row>
          <xdr:rowOff>28575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133350</xdr:rowOff>
        </xdr:from>
        <xdr:to>
          <xdr:col>1</xdr:col>
          <xdr:colOff>514350</xdr:colOff>
          <xdr:row>17</xdr:row>
          <xdr:rowOff>28575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lackreigns%20OOP%20SIM%20OD%20---%20Beta%20Round%2015%20---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Population"/>
      <sheetName val="Production"/>
      <sheetName val="Construction"/>
      <sheetName val="Explore"/>
      <sheetName val="Military"/>
      <sheetName val="Rezone"/>
      <sheetName val="Magic"/>
      <sheetName val="Techs"/>
      <sheetName val="Imps"/>
      <sheetName val="Log"/>
      <sheetName val="Constants"/>
      <sheetName val="Races"/>
      <sheetName val="cal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76">
          <cell r="C76" t="str">
            <v>* Landsize</v>
          </cell>
          <cell r="F76">
            <v>0.1</v>
          </cell>
        </row>
        <row r="118">
          <cell r="C118">
            <v>0.1</v>
          </cell>
          <cell r="F118">
            <v>4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80"/>
  <sheetViews>
    <sheetView tabSelected="1" workbookViewId="0">
      <selection activeCell="B4" sqref="B4"/>
    </sheetView>
  </sheetViews>
  <sheetFormatPr defaultRowHeight="12.75" x14ac:dyDescent="0.2"/>
  <cols>
    <col min="1" max="1" width="13.140625" customWidth="1"/>
    <col min="7" max="7" width="13.140625" customWidth="1"/>
  </cols>
  <sheetData>
    <row r="1" spans="1:16" ht="15.75" x14ac:dyDescent="0.25">
      <c r="A1" s="22" t="s">
        <v>188</v>
      </c>
    </row>
    <row r="3" spans="1:16" ht="15" x14ac:dyDescent="0.25">
      <c r="A3" s="27" t="s">
        <v>131</v>
      </c>
      <c r="G3" s="27" t="s">
        <v>38</v>
      </c>
    </row>
    <row r="4" spans="1:16" x14ac:dyDescent="0.2">
      <c r="A4" t="s">
        <v>119</v>
      </c>
      <c r="B4" s="40" t="s">
        <v>10</v>
      </c>
      <c r="G4" t="s">
        <v>119</v>
      </c>
      <c r="H4" s="40" t="s">
        <v>10</v>
      </c>
      <c r="P4" t="s">
        <v>159</v>
      </c>
    </row>
    <row r="5" spans="1:16" x14ac:dyDescent="0.2">
      <c r="P5" t="s">
        <v>174</v>
      </c>
    </row>
    <row r="6" spans="1:16" x14ac:dyDescent="0.2">
      <c r="A6" t="s">
        <v>120</v>
      </c>
      <c r="C6" t="s">
        <v>5</v>
      </c>
      <c r="G6" t="s">
        <v>120</v>
      </c>
      <c r="I6" t="s">
        <v>6</v>
      </c>
      <c r="P6" t="s">
        <v>183</v>
      </c>
    </row>
    <row r="7" spans="1:16" x14ac:dyDescent="0.2">
      <c r="A7" t="s">
        <v>121</v>
      </c>
      <c r="B7" s="40">
        <v>0</v>
      </c>
      <c r="C7">
        <v>0</v>
      </c>
      <c r="G7" t="s">
        <v>121</v>
      </c>
      <c r="H7" s="40">
        <v>0</v>
      </c>
      <c r="I7">
        <v>1</v>
      </c>
      <c r="K7" s="38"/>
      <c r="L7" t="s">
        <v>178</v>
      </c>
      <c r="M7" s="40"/>
      <c r="P7" t="s">
        <v>184</v>
      </c>
    </row>
    <row r="8" spans="1:16" x14ac:dyDescent="0.2">
      <c r="A8" t="str">
        <f>VLOOKUP($B$4,Races!$A$3:$D$82,4,FALSE)</f>
        <v>Spearman</v>
      </c>
      <c r="B8" s="40">
        <v>0</v>
      </c>
      <c r="C8">
        <f>VLOOKUP($A8,Races!$D$3:$F$82,2,FALSE)</f>
        <v>3</v>
      </c>
      <c r="G8" t="str">
        <f>VLOOKUP($H$4,Races!$A$3:$D$82,4,FALSE)</f>
        <v>Spearman</v>
      </c>
      <c r="H8" s="40">
        <v>0</v>
      </c>
      <c r="I8">
        <f>VLOOKUP($G8,Races!$D$3:$F$82,3,FALSE)</f>
        <v>0</v>
      </c>
      <c r="K8" s="38"/>
      <c r="L8" t="s">
        <v>179</v>
      </c>
      <c r="P8" t="s">
        <v>187</v>
      </c>
    </row>
    <row r="9" spans="1:16" x14ac:dyDescent="0.2">
      <c r="A9" t="str">
        <f ca="1">INDIRECT(CONCATENATE("Races!$D$",TEXT(1+MATCH($A$8,Races!$D$1:$D$82,0),0)))</f>
        <v>Archer</v>
      </c>
      <c r="B9" s="40">
        <v>0</v>
      </c>
      <c r="C9">
        <f ca="1">VLOOKUP($A9,Races!$D$3:$F$82,2,FALSE)</f>
        <v>0</v>
      </c>
      <c r="G9" t="str">
        <f ca="1">INDIRECT(CONCATENATE("Races!$D$",TEXT(1+MATCH($G$8,Races!$D$1:$D$82,0),0)))</f>
        <v>Archer</v>
      </c>
      <c r="H9" s="40">
        <v>0</v>
      </c>
      <c r="I9">
        <f ca="1">VLOOKUP($G9,Races!$D$3:$F$82,3,FALSE)</f>
        <v>3</v>
      </c>
      <c r="K9" s="38"/>
      <c r="L9" t="s">
        <v>180</v>
      </c>
      <c r="M9" t="s">
        <v>181</v>
      </c>
      <c r="P9" t="s">
        <v>185</v>
      </c>
    </row>
    <row r="10" spans="1:16" x14ac:dyDescent="0.2">
      <c r="A10" t="str">
        <f ca="1">INDIRECT(CONCATENATE("Races!$D$",TEXT(1+MATCH($A$9,Races!$D$1:$D$82,0),0)))</f>
        <v>Knight</v>
      </c>
      <c r="B10" s="40">
        <v>0</v>
      </c>
      <c r="C10">
        <f ca="1">VLOOKUP($A10,Races!$D$3:$F$82,2,FALSE)+G45*E45</f>
        <v>2</v>
      </c>
      <c r="G10" t="str">
        <f ca="1">INDIRECT(CONCATENATE("Races!$D$",TEXT(1+MATCH($G$9,Races!$D$1:$D$82,0),0)))</f>
        <v>Knight</v>
      </c>
      <c r="H10" s="40">
        <v>0</v>
      </c>
      <c r="I10">
        <f ca="1">VLOOKUP($G10,Races!$D$3:$F$82,3,FALSE)+H41*F41+H43*F43+H44*F44+H45*F45+H46*F46+H48*F48+H49*F49</f>
        <v>6</v>
      </c>
      <c r="L10" s="41"/>
      <c r="M10" s="41"/>
    </row>
    <row r="11" spans="1:16" x14ac:dyDescent="0.2">
      <c r="A11" t="str">
        <f ca="1">INDIRECT(CONCATENATE("Races!$D$",TEXT(1+MATCH($A$10,Races!$D$1:$D$82,0),0)))</f>
        <v>Cavalry</v>
      </c>
      <c r="B11" s="40">
        <v>0</v>
      </c>
      <c r="C11">
        <f ca="1">VLOOKUP($A11,Races!$D$3:$F$82,2,FALSE)+G42*E42+G54*H54*E54+G55*E55+G56*E56</f>
        <v>6</v>
      </c>
      <c r="G11" t="str">
        <f ca="1">INDIRECT(CONCATENATE("Races!$D$",TEXT(1+MATCH($G$10,Races!$D$1:$D$82,0),0)))</f>
        <v>Cavalry</v>
      </c>
      <c r="H11" s="40">
        <v>0</v>
      </c>
      <c r="I11">
        <f ca="1">VLOOKUP($G11,Races!$D$3:$F$82,3,FALSE)+H42*F42</f>
        <v>3</v>
      </c>
      <c r="L11" s="42"/>
      <c r="M11" s="42"/>
    </row>
    <row r="12" spans="1:16" x14ac:dyDescent="0.2">
      <c r="L12" s="42"/>
      <c r="M12" s="42"/>
    </row>
    <row r="13" spans="1:16" x14ac:dyDescent="0.2">
      <c r="A13" t="s">
        <v>122</v>
      </c>
      <c r="B13" s="40">
        <v>1000</v>
      </c>
      <c r="G13" t="s">
        <v>122</v>
      </c>
      <c r="H13" s="40">
        <v>1000</v>
      </c>
      <c r="L13" s="43"/>
      <c r="M13" s="43"/>
    </row>
    <row r="14" spans="1:16" x14ac:dyDescent="0.2">
      <c r="A14" t="s">
        <v>149</v>
      </c>
      <c r="B14" s="40">
        <v>250</v>
      </c>
      <c r="H14" s="39"/>
      <c r="L14">
        <f>ROUNDUP(MIN(L10:L13)/0.85,0)</f>
        <v>0</v>
      </c>
      <c r="M14">
        <f>M7-ROUNDDOWN(MAX(M10:M13)*0.85,0)</f>
        <v>0</v>
      </c>
    </row>
    <row r="15" spans="1:16" x14ac:dyDescent="0.2">
      <c r="A15" t="s">
        <v>151</v>
      </c>
      <c r="B15" s="40">
        <v>0</v>
      </c>
      <c r="G15" t="s">
        <v>123</v>
      </c>
      <c r="H15" s="40">
        <v>0</v>
      </c>
    </row>
    <row r="16" spans="1:16" x14ac:dyDescent="0.2">
      <c r="A16" t="s">
        <v>152</v>
      </c>
      <c r="B16" s="40">
        <v>0</v>
      </c>
      <c r="C16" t="s">
        <v>125</v>
      </c>
      <c r="G16" t="s">
        <v>124</v>
      </c>
      <c r="H16" s="40">
        <v>0</v>
      </c>
      <c r="I16" t="s">
        <v>125</v>
      </c>
    </row>
    <row r="17" spans="1:9" x14ac:dyDescent="0.2">
      <c r="A17" t="str">
        <f>IFERROR(VLOOKUP(B4,E59:G67,2,FALSE),F67)</f>
        <v>Crusade</v>
      </c>
      <c r="B17" s="44"/>
      <c r="C17" s="46" t="b">
        <v>1</v>
      </c>
      <c r="G17" t="str">
        <f>IFERROR(VLOOKUP(H4,A60:C62,2,FALSE),B59)</f>
        <v>Ares' Call</v>
      </c>
      <c r="H17" s="44"/>
      <c r="I17" s="46" t="b">
        <v>1</v>
      </c>
    </row>
    <row r="18" spans="1:9" x14ac:dyDescent="0.2">
      <c r="A18" t="s">
        <v>175</v>
      </c>
      <c r="B18" s="40" t="s">
        <v>164</v>
      </c>
      <c r="H18" s="30"/>
    </row>
    <row r="19" spans="1:9" x14ac:dyDescent="0.2">
      <c r="A19" t="s">
        <v>153</v>
      </c>
      <c r="B19" s="28">
        <f>VLOOKUP(B4,Races!A85:D104,3,FALSE)</f>
        <v>0</v>
      </c>
      <c r="C19" t="s">
        <v>125</v>
      </c>
      <c r="G19" t="s">
        <v>153</v>
      </c>
      <c r="H19" s="28">
        <f>VLOOKUP(H4,Races!A85:D104,4,FALSE)</f>
        <v>0</v>
      </c>
      <c r="I19" t="s">
        <v>125</v>
      </c>
    </row>
    <row r="20" spans="1:9" x14ac:dyDescent="0.2">
      <c r="A20" s="23" t="e">
        <f>VLOOKUP(IF(ISNUMBER(MATCH(B4,A41:A53,0)),B4,"Other"),A41:I53,9,FALSE)</f>
        <v>#N/A</v>
      </c>
      <c r="B20" s="40">
        <v>0</v>
      </c>
      <c r="C20" s="12"/>
      <c r="G20" s="23" t="e">
        <f>VLOOKUP(IF(ISNUMBER(MATCH(H4,A41:A50,0)),H4,"Other"),A41:I50,9,FALSE)</f>
        <v>#N/A</v>
      </c>
      <c r="H20" s="40">
        <v>0</v>
      </c>
    </row>
    <row r="21" spans="1:9" x14ac:dyDescent="0.2">
      <c r="A21" t="s">
        <v>158</v>
      </c>
      <c r="B21" s="40">
        <v>0</v>
      </c>
    </row>
    <row r="22" spans="1:9" x14ac:dyDescent="0.2">
      <c r="A22" t="s">
        <v>126</v>
      </c>
      <c r="B22" s="44">
        <v>100</v>
      </c>
      <c r="C22" t="s">
        <v>125</v>
      </c>
      <c r="G22" t="s">
        <v>126</v>
      </c>
      <c r="H22" s="40">
        <v>100</v>
      </c>
      <c r="I22" t="s">
        <v>125</v>
      </c>
    </row>
    <row r="23" spans="1:9" x14ac:dyDescent="0.2">
      <c r="A23" t="s">
        <v>186</v>
      </c>
      <c r="B23" s="45"/>
      <c r="C23" s="46" t="b">
        <v>0</v>
      </c>
      <c r="G23" t="s">
        <v>186</v>
      </c>
      <c r="H23" s="45"/>
      <c r="I23" s="46" t="b">
        <v>0</v>
      </c>
    </row>
    <row r="24" spans="1:9" x14ac:dyDescent="0.2">
      <c r="B24" s="24"/>
      <c r="H24" s="24"/>
    </row>
    <row r="25" spans="1:9" x14ac:dyDescent="0.2">
      <c r="A25" t="s">
        <v>157</v>
      </c>
      <c r="B25">
        <f ca="1">B7*C7+B8*C8+B9*C9+B10*C10+B11*C11+G53*E53</f>
        <v>0</v>
      </c>
      <c r="G25" t="s">
        <v>127</v>
      </c>
      <c r="H25">
        <f ca="1">MAX(IF(AND(A17="Unholy Ghost",C17=TRUE()),0,H7)*I7+H8*I8+H9*I9+H10*I10+H11*I11+H52*F52,(H13-150)*5)</f>
        <v>4250</v>
      </c>
    </row>
    <row r="26" spans="1:9" x14ac:dyDescent="0.2">
      <c r="A26" t="s">
        <v>128</v>
      </c>
      <c r="B26" s="56">
        <f>B14/100+MIN(B15/B13*100*1.75,35)+B16+VLOOKUP(A17,F59:G67,2,FALSE)*C17+VLOOKUP(B18,A67:B69,2,FALSE)+B19+C23*5+I23*5</f>
        <v>7.5</v>
      </c>
      <c r="C26" t="s">
        <v>125</v>
      </c>
      <c r="G26" t="s">
        <v>128</v>
      </c>
      <c r="H26">
        <f>MAX(MIN(H15/H13*100*1.75,35)+H16+VLOOKUP(G17,B59:C63,2,FALSE)*I17+H19-B21/B13*100*1.5*A50,0)</f>
        <v>10</v>
      </c>
      <c r="I26" t="s">
        <v>125</v>
      </c>
    </row>
    <row r="27" spans="1:9" x14ac:dyDescent="0.2">
      <c r="A27" t="s">
        <v>129</v>
      </c>
      <c r="B27">
        <f>0.9+B22/1000</f>
        <v>1</v>
      </c>
      <c r="G27" t="s">
        <v>129</v>
      </c>
      <c r="H27">
        <f>0.9+H22/1000</f>
        <v>1</v>
      </c>
    </row>
    <row r="28" spans="1:9" ht="13.5" thickBot="1" x14ac:dyDescent="0.25"/>
    <row r="29" spans="1:9" ht="15.75" thickBot="1" x14ac:dyDescent="0.3">
      <c r="A29" s="25" t="s">
        <v>132</v>
      </c>
      <c r="B29" s="26">
        <f ca="1">B25*(1+B26/100)*B27</f>
        <v>0</v>
      </c>
      <c r="G29" s="25" t="s">
        <v>130</v>
      </c>
      <c r="H29" s="26">
        <f ca="1">H25*(1+H26/100)*H27</f>
        <v>4675</v>
      </c>
    </row>
    <row r="30" spans="1:9" ht="13.5" thickBot="1" x14ac:dyDescent="0.25"/>
    <row r="31" spans="1:9" ht="15.75" thickBot="1" x14ac:dyDescent="0.3">
      <c r="B31" s="33" t="s">
        <v>156</v>
      </c>
      <c r="C31" s="32"/>
      <c r="D31" s="32"/>
      <c r="E31" s="32"/>
      <c r="F31" s="32"/>
      <c r="G31" s="31" t="str">
        <f ca="1">IF(B29&gt;H29,"Succeed!","Fail!")</f>
        <v>Fail!</v>
      </c>
    </row>
    <row r="33" spans="1:11" x14ac:dyDescent="0.2">
      <c r="A33" t="s">
        <v>161</v>
      </c>
      <c r="B33">
        <f ca="1">B29/H29</f>
        <v>0</v>
      </c>
      <c r="E33" s="34" t="s">
        <v>160</v>
      </c>
      <c r="F33" s="35"/>
      <c r="G33" s="36">
        <f>MAX(FLOOR((IF(AND(C23,I23)=TRUE(),1.2,IF(OR(C23,I23)=TRUE(),1.15,1)))*0.9*IF((H13/B13)&lt;0.55, (0.304*(H13/B13)^2-0.227*(H13/B13)+0.048)*B13*1, IF((H13/B13)&lt;0.75, B13*1*(0.154*(H13/B13) - 0.069), 1*B13*(0.129*(H13/B13)-0.048))),1),10)</f>
        <v>72</v>
      </c>
    </row>
    <row r="34" spans="1:11" x14ac:dyDescent="0.2">
      <c r="E34" s="34" t="s">
        <v>172</v>
      </c>
      <c r="F34" s="35"/>
      <c r="G34" s="36">
        <f>FLOOR(G33*2/3,1)</f>
        <v>48</v>
      </c>
    </row>
    <row r="35" spans="1:11" x14ac:dyDescent="0.2">
      <c r="E35" s="34" t="s">
        <v>173</v>
      </c>
      <c r="F35" s="35"/>
      <c r="G35" s="36">
        <f>G33+G34</f>
        <v>120</v>
      </c>
    </row>
    <row r="37" spans="1:11" s="47" customFormat="1" x14ac:dyDescent="0.2"/>
    <row r="38" spans="1:11" s="47" customFormat="1" x14ac:dyDescent="0.2">
      <c r="A38" s="57" t="s">
        <v>133</v>
      </c>
      <c r="B38" s="58"/>
    </row>
    <row r="39" spans="1:11" s="47" customFormat="1" x14ac:dyDescent="0.2">
      <c r="A39" s="48" t="s">
        <v>134</v>
      </c>
      <c r="B39" s="49"/>
      <c r="E39" s="49"/>
    </row>
    <row r="40" spans="1:11" s="47" customFormat="1" x14ac:dyDescent="0.2">
      <c r="A40" s="50" t="s">
        <v>135</v>
      </c>
      <c r="B40" s="50" t="s">
        <v>136</v>
      </c>
      <c r="C40" s="50" t="s">
        <v>144</v>
      </c>
      <c r="D40" s="50" t="s">
        <v>145</v>
      </c>
      <c r="E40" s="50" t="s">
        <v>137</v>
      </c>
      <c r="F40" s="50" t="s">
        <v>138</v>
      </c>
      <c r="G40" s="50" t="s">
        <v>142</v>
      </c>
      <c r="H40" s="50" t="s">
        <v>143</v>
      </c>
      <c r="J40" s="50"/>
      <c r="K40" s="50"/>
    </row>
    <row r="41" spans="1:11" s="47" customFormat="1" x14ac:dyDescent="0.2">
      <c r="A41" s="47" t="s">
        <v>29</v>
      </c>
      <c r="B41" s="47" t="s">
        <v>33</v>
      </c>
      <c r="C41" s="51">
        <v>0.2</v>
      </c>
      <c r="D41" s="47">
        <v>5</v>
      </c>
      <c r="E41" s="52"/>
      <c r="F41" s="52">
        <f>MIN(H20/H13/C41,D41)</f>
        <v>0</v>
      </c>
      <c r="G41" s="47" t="b">
        <f t="shared" ref="G41:G49" si="0">$B$4=A41</f>
        <v>0</v>
      </c>
      <c r="H41" s="47" t="b">
        <f t="shared" ref="H41:H49" si="1">$H$4=A41</f>
        <v>0</v>
      </c>
      <c r="I41" s="47" t="s">
        <v>146</v>
      </c>
    </row>
    <row r="42" spans="1:11" s="47" customFormat="1" x14ac:dyDescent="0.2">
      <c r="A42" s="47" t="s">
        <v>29</v>
      </c>
      <c r="B42" s="47" t="s">
        <v>34</v>
      </c>
      <c r="C42" s="51">
        <v>0.2</v>
      </c>
      <c r="D42" s="47">
        <v>5</v>
      </c>
      <c r="E42" s="52">
        <f>MIN(B20/B13/C42,D42)</f>
        <v>0</v>
      </c>
      <c r="F42" s="52">
        <f>MIN(H20/H13/C42,D42)</f>
        <v>0</v>
      </c>
      <c r="G42" s="47" t="b">
        <f t="shared" si="0"/>
        <v>0</v>
      </c>
      <c r="H42" s="47" t="b">
        <f t="shared" si="1"/>
        <v>0</v>
      </c>
      <c r="I42" s="47" t="s">
        <v>146</v>
      </c>
    </row>
    <row r="43" spans="1:11" s="47" customFormat="1" x14ac:dyDescent="0.2">
      <c r="A43" s="47" t="s">
        <v>52</v>
      </c>
      <c r="B43" s="47" t="s">
        <v>55</v>
      </c>
      <c r="C43" s="51">
        <v>0.2</v>
      </c>
      <c r="D43" s="47">
        <v>4</v>
      </c>
      <c r="E43" s="52"/>
      <c r="F43" s="52">
        <f>MIN(H20/H13/C43,D43)</f>
        <v>0</v>
      </c>
      <c r="G43" s="47" t="b">
        <f t="shared" si="0"/>
        <v>0</v>
      </c>
      <c r="H43" s="47" t="b">
        <f t="shared" si="1"/>
        <v>0</v>
      </c>
      <c r="I43" s="47" t="s">
        <v>146</v>
      </c>
    </row>
    <row r="44" spans="1:11" s="47" customFormat="1" x14ac:dyDescent="0.2">
      <c r="A44" s="47" t="s">
        <v>41</v>
      </c>
      <c r="B44" s="47" t="s">
        <v>44</v>
      </c>
      <c r="C44" s="51">
        <v>0.2</v>
      </c>
      <c r="D44" s="47">
        <v>2</v>
      </c>
      <c r="E44" s="52"/>
      <c r="F44" s="52">
        <f>MIN(H20/H13/C44,D44)</f>
        <v>0</v>
      </c>
      <c r="G44" s="47" t="b">
        <f t="shared" si="0"/>
        <v>0</v>
      </c>
      <c r="H44" s="47" t="b">
        <f t="shared" si="1"/>
        <v>0</v>
      </c>
      <c r="I44" s="47" t="s">
        <v>147</v>
      </c>
    </row>
    <row r="45" spans="1:11" s="47" customFormat="1" x14ac:dyDescent="0.2">
      <c r="A45" s="47" t="s">
        <v>67</v>
      </c>
      <c r="B45" s="47" t="s">
        <v>71</v>
      </c>
      <c r="C45" s="51">
        <v>0.08</v>
      </c>
      <c r="D45" s="47">
        <v>5</v>
      </c>
      <c r="E45" s="52">
        <f>MIN(B20/B13/C45,D45)</f>
        <v>0</v>
      </c>
      <c r="F45" s="52">
        <f>MIN(H20/H13/C45,D45)</f>
        <v>0</v>
      </c>
      <c r="G45" s="47" t="b">
        <f t="shared" si="0"/>
        <v>0</v>
      </c>
      <c r="H45" s="47" t="b">
        <f t="shared" si="1"/>
        <v>0</v>
      </c>
      <c r="I45" s="47" t="s">
        <v>148</v>
      </c>
    </row>
    <row r="46" spans="1:11" s="47" customFormat="1" x14ac:dyDescent="0.2">
      <c r="A46" s="47" t="s">
        <v>99</v>
      </c>
      <c r="B46" s="47" t="s">
        <v>102</v>
      </c>
      <c r="C46" s="51">
        <v>0.2</v>
      </c>
      <c r="D46" s="47">
        <v>3</v>
      </c>
      <c r="F46" s="52">
        <f>MIN(H20/H13/C46,D46)</f>
        <v>0</v>
      </c>
      <c r="G46" s="47" t="b">
        <f t="shared" si="0"/>
        <v>0</v>
      </c>
      <c r="H46" s="47" t="b">
        <f t="shared" si="1"/>
        <v>0</v>
      </c>
      <c r="I46" s="47" t="s">
        <v>147</v>
      </c>
    </row>
    <row r="47" spans="1:11" s="47" customFormat="1" x14ac:dyDescent="0.2">
      <c r="A47" s="47" t="s">
        <v>99</v>
      </c>
      <c r="B47" s="47" t="s">
        <v>103</v>
      </c>
      <c r="C47" s="51">
        <v>1</v>
      </c>
      <c r="D47" s="47">
        <v>3</v>
      </c>
      <c r="E47" s="53" t="e">
        <f ca="1">MIN([1]Constants!F76,I9*[1]Constants!C76)</f>
        <v>#VALUE!</v>
      </c>
      <c r="G47" s="47" t="b">
        <f t="shared" si="0"/>
        <v>0</v>
      </c>
      <c r="H47" s="47" t="b">
        <f t="shared" si="1"/>
        <v>0</v>
      </c>
    </row>
    <row r="48" spans="1:11" s="47" customFormat="1" x14ac:dyDescent="0.2">
      <c r="A48" s="47" t="s">
        <v>109</v>
      </c>
      <c r="B48" s="47" t="s">
        <v>112</v>
      </c>
      <c r="C48" s="54">
        <v>500</v>
      </c>
      <c r="D48" s="47">
        <v>2</v>
      </c>
      <c r="F48" s="52">
        <f>MIN(H20/C48,D48)</f>
        <v>0</v>
      </c>
      <c r="G48" s="47" t="b">
        <f t="shared" si="0"/>
        <v>0</v>
      </c>
      <c r="H48" s="47" t="b">
        <f t="shared" si="1"/>
        <v>0</v>
      </c>
      <c r="I48" s="47" t="s">
        <v>149</v>
      </c>
    </row>
    <row r="49" spans="1:10" s="47" customFormat="1" x14ac:dyDescent="0.2">
      <c r="A49" s="47" t="s">
        <v>114</v>
      </c>
      <c r="B49" s="47" t="s">
        <v>117</v>
      </c>
      <c r="C49" s="51">
        <v>0.1</v>
      </c>
      <c r="D49" s="47">
        <v>4</v>
      </c>
      <c r="F49" s="52">
        <f>MIN(H20/H13/C49,D49)</f>
        <v>0</v>
      </c>
      <c r="G49" s="47" t="b">
        <f t="shared" si="0"/>
        <v>0</v>
      </c>
      <c r="H49" s="47" t="b">
        <f t="shared" si="1"/>
        <v>0</v>
      </c>
      <c r="I49" s="47" t="s">
        <v>150</v>
      </c>
    </row>
    <row r="50" spans="1:10" s="47" customFormat="1" x14ac:dyDescent="0.2">
      <c r="A50" s="47" t="b">
        <v>0</v>
      </c>
      <c r="F50" s="52"/>
    </row>
    <row r="51" spans="1:10" s="47" customFormat="1" x14ac:dyDescent="0.2">
      <c r="A51" s="48" t="s">
        <v>139</v>
      </c>
      <c r="I51" s="47" t="s">
        <v>38</v>
      </c>
    </row>
    <row r="52" spans="1:10" s="47" customFormat="1" x14ac:dyDescent="0.2">
      <c r="A52" s="47" t="s">
        <v>89</v>
      </c>
      <c r="B52" s="47" t="s">
        <v>140</v>
      </c>
      <c r="F52" s="47">
        <f>MIN(H11,H10)*2</f>
        <v>0</v>
      </c>
      <c r="G52" s="47" t="b">
        <f>$B$4=A52</f>
        <v>0</v>
      </c>
      <c r="H52" s="47" t="b">
        <f>$H$4=A52</f>
        <v>0</v>
      </c>
    </row>
    <row r="53" spans="1:10" s="47" customFormat="1" x14ac:dyDescent="0.2">
      <c r="A53" s="47" t="s">
        <v>89</v>
      </c>
      <c r="B53" s="47" t="s">
        <v>141</v>
      </c>
      <c r="E53" s="47">
        <f>MIN(B8,B11)*2</f>
        <v>0</v>
      </c>
      <c r="G53" s="47" t="b">
        <f>$B$4=A53</f>
        <v>0</v>
      </c>
      <c r="H53" s="47" t="b">
        <f>$H$4=A53</f>
        <v>0</v>
      </c>
    </row>
    <row r="54" spans="1:10" s="47" customFormat="1" x14ac:dyDescent="0.2">
      <c r="A54" s="47" t="s">
        <v>62</v>
      </c>
      <c r="B54" s="47" t="s">
        <v>66</v>
      </c>
      <c r="E54" s="47">
        <v>1</v>
      </c>
      <c r="G54" s="47" t="b">
        <f>$B$4=A54</f>
        <v>0</v>
      </c>
      <c r="H54" s="47" t="b">
        <f>OR($H$4=I54,$H$4=J54)</f>
        <v>0</v>
      </c>
      <c r="I54" s="47" t="s">
        <v>89</v>
      </c>
      <c r="J54" s="47" t="s">
        <v>57</v>
      </c>
    </row>
    <row r="55" spans="1:10" s="47" customFormat="1" x14ac:dyDescent="0.2">
      <c r="A55" s="47" t="s">
        <v>109</v>
      </c>
      <c r="B55" s="47" t="s">
        <v>113</v>
      </c>
      <c r="C55" s="51">
        <v>-0.1</v>
      </c>
      <c r="D55" s="47">
        <v>-2</v>
      </c>
      <c r="E55" s="47">
        <f>IF(H15=0,0,MAX(H15/H13/C55,D55))</f>
        <v>0</v>
      </c>
      <c r="G55" s="47" t="b">
        <f t="shared" ref="G55" si="2">$B$4=A55</f>
        <v>0</v>
      </c>
      <c r="H55" s="47" t="b">
        <f t="shared" ref="H55" si="3">$H$4=A55</f>
        <v>0</v>
      </c>
    </row>
    <row r="56" spans="1:10" s="47" customFormat="1" x14ac:dyDescent="0.2">
      <c r="A56" s="47" t="s">
        <v>67</v>
      </c>
      <c r="B56" s="47" t="s">
        <v>72</v>
      </c>
      <c r="E56" s="47">
        <f>IF(H13/B13&lt;0.75,0,IF(H13/B13&lt;0.95,0.5,1))</f>
        <v>1</v>
      </c>
      <c r="G56" s="47" t="b">
        <f>$B$4=A56</f>
        <v>0</v>
      </c>
    </row>
    <row r="57" spans="1:10" s="47" customFormat="1" x14ac:dyDescent="0.2"/>
    <row r="58" spans="1:10" s="47" customFormat="1" x14ac:dyDescent="0.2"/>
    <row r="59" spans="1:10" s="47" customFormat="1" x14ac:dyDescent="0.2">
      <c r="B59" s="47" t="s">
        <v>162</v>
      </c>
      <c r="C59" s="54">
        <v>10</v>
      </c>
      <c r="E59" s="47" t="s">
        <v>10</v>
      </c>
      <c r="F59" s="47" t="s">
        <v>167</v>
      </c>
      <c r="G59" s="47">
        <v>5</v>
      </c>
    </row>
    <row r="60" spans="1:10" s="47" customFormat="1" x14ac:dyDescent="0.2">
      <c r="A60" s="47" t="s">
        <v>89</v>
      </c>
      <c r="B60" s="47" t="s">
        <v>166</v>
      </c>
      <c r="C60" s="47">
        <v>10</v>
      </c>
      <c r="E60" s="47" t="s">
        <v>17</v>
      </c>
      <c r="F60" s="47" t="s">
        <v>167</v>
      </c>
      <c r="G60" s="47">
        <v>5</v>
      </c>
    </row>
    <row r="61" spans="1:10" s="47" customFormat="1" x14ac:dyDescent="0.2">
      <c r="A61" s="47" t="s">
        <v>99</v>
      </c>
      <c r="B61" s="47" t="s">
        <v>163</v>
      </c>
      <c r="C61" s="54">
        <v>15</v>
      </c>
      <c r="E61" s="47" t="s">
        <v>109</v>
      </c>
      <c r="F61" s="47" t="s">
        <v>168</v>
      </c>
      <c r="G61" s="47">
        <v>10</v>
      </c>
    </row>
    <row r="62" spans="1:10" s="47" customFormat="1" x14ac:dyDescent="0.2">
      <c r="A62" s="47" t="s">
        <v>35</v>
      </c>
      <c r="B62" s="47" t="s">
        <v>165</v>
      </c>
      <c r="C62" s="54">
        <v>20</v>
      </c>
      <c r="E62" s="47" t="s">
        <v>89</v>
      </c>
      <c r="F62" s="47" t="s">
        <v>166</v>
      </c>
      <c r="G62" s="47">
        <v>10</v>
      </c>
    </row>
    <row r="63" spans="1:10" s="47" customFormat="1" x14ac:dyDescent="0.2">
      <c r="B63" s="47" t="s">
        <v>164</v>
      </c>
      <c r="C63" s="54">
        <v>0</v>
      </c>
      <c r="E63" s="47" t="s">
        <v>57</v>
      </c>
      <c r="F63" s="47" t="s">
        <v>169</v>
      </c>
      <c r="G63" s="47">
        <v>10</v>
      </c>
    </row>
    <row r="64" spans="1:10" s="47" customFormat="1" x14ac:dyDescent="0.2">
      <c r="F64" s="47" t="s">
        <v>170</v>
      </c>
      <c r="G64" s="47">
        <v>10</v>
      </c>
    </row>
    <row r="65" spans="1:13" s="47" customFormat="1" x14ac:dyDescent="0.2">
      <c r="E65" s="47" t="s">
        <v>114</v>
      </c>
      <c r="F65" s="47" t="s">
        <v>171</v>
      </c>
      <c r="G65" s="47">
        <v>5</v>
      </c>
    </row>
    <row r="66" spans="1:13" s="47" customFormat="1" x14ac:dyDescent="0.2">
      <c r="E66" s="47" t="s">
        <v>67</v>
      </c>
      <c r="F66" s="47" t="s">
        <v>182</v>
      </c>
      <c r="G66" s="47">
        <v>0</v>
      </c>
    </row>
    <row r="67" spans="1:13" s="47" customFormat="1" x14ac:dyDescent="0.2">
      <c r="A67" s="47" t="s">
        <v>176</v>
      </c>
      <c r="B67" s="47">
        <v>5</v>
      </c>
      <c r="F67" s="47" t="s">
        <v>164</v>
      </c>
      <c r="G67" s="47">
        <v>0</v>
      </c>
    </row>
    <row r="68" spans="1:13" s="47" customFormat="1" x14ac:dyDescent="0.2">
      <c r="A68" s="47" t="s">
        <v>177</v>
      </c>
      <c r="B68" s="47">
        <v>10</v>
      </c>
    </row>
    <row r="69" spans="1:13" s="47" customFormat="1" x14ac:dyDescent="0.2">
      <c r="A69" s="55" t="s">
        <v>164</v>
      </c>
      <c r="B69" s="55">
        <v>0</v>
      </c>
    </row>
    <row r="70" spans="1:13" s="47" customFormat="1" x14ac:dyDescent="0.2"/>
    <row r="71" spans="1:13" s="47" customFormat="1" x14ac:dyDescent="0.2"/>
    <row r="72" spans="1:13" s="47" customFormat="1" x14ac:dyDescent="0.2"/>
    <row r="73" spans="1:13" s="47" customFormat="1" x14ac:dyDescent="0.2"/>
    <row r="74" spans="1:13" s="47" customFormat="1" x14ac:dyDescent="0.2"/>
    <row r="75" spans="1:13" s="47" customFormat="1" x14ac:dyDescent="0.2"/>
    <row r="76" spans="1:13" s="47" customFormat="1" x14ac:dyDescent="0.2"/>
    <row r="77" spans="1:13" s="47" customFormat="1" x14ac:dyDescent="0.2"/>
    <row r="78" spans="1:13" s="47" customFormat="1" x14ac:dyDescent="0.2"/>
    <row r="79" spans="1:13" s="47" customFormat="1" x14ac:dyDescent="0.2"/>
    <row r="80" spans="1:13" x14ac:dyDescent="0.2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</sheetData>
  <mergeCells count="1">
    <mergeCell ref="A38:B38"/>
  </mergeCells>
  <conditionalFormatting sqref="A20:B20 G20:H20">
    <cfRule type="expression" dxfId="6" priority="8">
      <formula>ISNA(A20)</formula>
    </cfRule>
  </conditionalFormatting>
  <conditionalFormatting sqref="G31">
    <cfRule type="expression" dxfId="5" priority="5">
      <formula>$B$29&gt;$H$29</formula>
    </cfRule>
    <cfRule type="expression" dxfId="4" priority="6">
      <formula>$B$29&lt;=$H$29</formula>
    </cfRule>
  </conditionalFormatting>
  <conditionalFormatting sqref="B33">
    <cfRule type="expression" dxfId="3" priority="3">
      <formula>$B$33&lt;=1.25</formula>
    </cfRule>
    <cfRule type="expression" dxfId="2" priority="4">
      <formula>$B$33&gt;1.25</formula>
    </cfRule>
  </conditionalFormatting>
  <conditionalFormatting sqref="L14">
    <cfRule type="expression" dxfId="1" priority="2">
      <formula>$L$14&lt;$M$14</formula>
    </cfRule>
  </conditionalFormatting>
  <conditionalFormatting sqref="M14">
    <cfRule type="expression" dxfId="0" priority="1">
      <formula>$M$14&lt;$L$14</formula>
    </cfRule>
  </conditionalFormatting>
  <dataValidations count="2">
    <dataValidation type="list" allowBlank="1" showInputMessage="1" showErrorMessage="1" sqref="B4 H4" xr:uid="{00000000-0002-0000-0000-000000000000}">
      <formula1>races</formula1>
    </dataValidation>
    <dataValidation type="list" allowBlank="1" showInputMessage="1" showErrorMessage="1" sqref="B18" xr:uid="{00000000-0002-0000-0000-000003000000}">
      <formula1>Techs</formula1>
    </dataValidation>
  </dataValidations>
  <pageMargins left="0.7" right="0.7" top="0.75" bottom="0.75" header="0.3" footer="0.3"/>
  <pageSetup orientation="portrait" r:id="rId1"/>
  <ignoredErrors>
    <ignoredError sqref="H54" formula="1"/>
    <ignoredError sqref="E47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Check Box 12">
              <controlPr defaultSize="0" autoFill="0" autoLine="0" autoPict="0">
                <anchor moveWithCells="1">
                  <from>
                    <xdr:col>2</xdr:col>
                    <xdr:colOff>19050</xdr:colOff>
                    <xdr:row>19</xdr:row>
                    <xdr:rowOff>123825</xdr:rowOff>
                  </from>
                  <to>
                    <xdr:col>4</xdr:col>
                    <xdr:colOff>457200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" name="Button 18">
              <controlPr defaultSize="0" print="0" autoFill="0" autoPict="0" macro="[0]!reset">
                <anchor moveWithCells="1" sizeWithCells="1">
                  <from>
                    <xdr:col>9</xdr:col>
                    <xdr:colOff>95250</xdr:colOff>
                    <xdr:row>2</xdr:row>
                    <xdr:rowOff>66675</xdr:rowOff>
                  </from>
                  <to>
                    <xdr:col>10</xdr:col>
                    <xdr:colOff>581025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Check Box 2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133350</xdr:rowOff>
                  </from>
                  <to>
                    <xdr:col>1</xdr:col>
                    <xdr:colOff>514350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Check Box 27">
              <controlPr defaultSize="0" autoFill="0" autoLine="0" autoPict="0">
                <anchor moveWithCells="1">
                  <from>
                    <xdr:col>7</xdr:col>
                    <xdr:colOff>209550</xdr:colOff>
                    <xdr:row>21</xdr:row>
                    <xdr:rowOff>133350</xdr:rowOff>
                  </from>
                  <to>
                    <xdr:col>7</xdr:col>
                    <xdr:colOff>514350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8" name="Check Box 30">
              <controlPr defaultSize="0" autoFill="0" autoLine="0" autoPict="0">
                <anchor moveWithCells="1">
                  <from>
                    <xdr:col>7</xdr:col>
                    <xdr:colOff>209550</xdr:colOff>
                    <xdr:row>15</xdr:row>
                    <xdr:rowOff>133350</xdr:rowOff>
                  </from>
                  <to>
                    <xdr:col>7</xdr:col>
                    <xdr:colOff>514350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9" name="Check Box 32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133350</xdr:rowOff>
                  </from>
                  <to>
                    <xdr:col>1</xdr:col>
                    <xdr:colOff>514350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04"/>
  <sheetViews>
    <sheetView zoomScale="85" zoomScaleNormal="85" workbookViewId="0">
      <selection activeCell="J2" sqref="J2"/>
    </sheetView>
  </sheetViews>
  <sheetFormatPr defaultRowHeight="12.75" x14ac:dyDescent="0.2"/>
  <cols>
    <col min="4" max="4" width="13.140625" bestFit="1" customWidth="1"/>
  </cols>
  <sheetData>
    <row r="1" spans="1:9" x14ac:dyDescent="0.2">
      <c r="A1" s="1" t="s">
        <v>0</v>
      </c>
      <c r="B1" s="2"/>
      <c r="C1" s="2"/>
      <c r="D1" s="2" t="s">
        <v>1</v>
      </c>
      <c r="F1" s="2"/>
      <c r="G1" s="2"/>
      <c r="H1" s="2"/>
      <c r="I1" s="2"/>
    </row>
    <row r="2" spans="1:9" x14ac:dyDescent="0.2">
      <c r="A2" s="3" t="s">
        <v>2</v>
      </c>
      <c r="B2" s="4" t="s">
        <v>3</v>
      </c>
      <c r="C2" s="4" t="s">
        <v>4</v>
      </c>
      <c r="D2" s="4" t="s">
        <v>2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9</v>
      </c>
    </row>
    <row r="3" spans="1:9" x14ac:dyDescent="0.2">
      <c r="A3" s="6" t="s">
        <v>10</v>
      </c>
      <c r="B3" s="7" t="s">
        <v>11</v>
      </c>
      <c r="C3" s="8" t="s">
        <v>12</v>
      </c>
      <c r="D3" s="9" t="s">
        <v>13</v>
      </c>
      <c r="E3" s="8">
        <v>3</v>
      </c>
      <c r="F3" s="8"/>
      <c r="G3" s="8">
        <v>275</v>
      </c>
      <c r="H3" s="8">
        <v>25</v>
      </c>
      <c r="I3" s="7">
        <v>5</v>
      </c>
    </row>
    <row r="4" spans="1:9" x14ac:dyDescent="0.2">
      <c r="A4" s="10"/>
      <c r="B4" s="11"/>
      <c r="C4" s="12"/>
      <c r="D4" s="13" t="s">
        <v>14</v>
      </c>
      <c r="E4" s="12"/>
      <c r="F4" s="12">
        <v>3</v>
      </c>
      <c r="G4" s="12">
        <v>275</v>
      </c>
      <c r="H4" s="12">
        <v>10</v>
      </c>
      <c r="I4" s="11">
        <v>5</v>
      </c>
    </row>
    <row r="5" spans="1:9" x14ac:dyDescent="0.2">
      <c r="A5" s="10"/>
      <c r="B5" s="11"/>
      <c r="C5" s="12"/>
      <c r="D5" s="13" t="s">
        <v>15</v>
      </c>
      <c r="E5" s="12">
        <v>2</v>
      </c>
      <c r="F5" s="12">
        <v>6</v>
      </c>
      <c r="G5" s="12">
        <v>1000</v>
      </c>
      <c r="H5" s="12">
        <v>75</v>
      </c>
      <c r="I5" s="11">
        <f>1.8 * MIN(6, MAX(E5,F5)) + 0.45 * MIN(6, MIN(E5,F5)) + IF(E5&gt;6, (E5-6)*0.2) + IF(F5&gt;6, (F5-6)*0.2)</f>
        <v>11.700000000000001</v>
      </c>
    </row>
    <row r="6" spans="1:9" x14ac:dyDescent="0.2">
      <c r="A6" s="14"/>
      <c r="B6" s="15"/>
      <c r="C6" s="16"/>
      <c r="D6" s="17" t="s">
        <v>16</v>
      </c>
      <c r="E6" s="16">
        <v>6</v>
      </c>
      <c r="F6" s="16">
        <v>3</v>
      </c>
      <c r="G6" s="16">
        <v>1250</v>
      </c>
      <c r="H6" s="16">
        <v>100</v>
      </c>
      <c r="I6" s="11">
        <f>1.8 * MIN(6, MAX(E6,F6)) + 0.45 * MIN(6, MIN(E6,F6)) + IF(E6&gt;6, (E6-6)*0.2) + IF(F6&gt;6, (F6-6)*0.2)</f>
        <v>12.15</v>
      </c>
    </row>
    <row r="7" spans="1:9" x14ac:dyDescent="0.2">
      <c r="A7" s="6" t="s">
        <v>17</v>
      </c>
      <c r="B7" s="7" t="s">
        <v>18</v>
      </c>
      <c r="C7" s="8" t="s">
        <v>12</v>
      </c>
      <c r="D7" s="9" t="s">
        <v>19</v>
      </c>
      <c r="E7" s="8">
        <v>3</v>
      </c>
      <c r="F7" s="8"/>
      <c r="G7" s="8">
        <v>275</v>
      </c>
      <c r="H7" s="8">
        <v>25</v>
      </c>
      <c r="I7" s="7">
        <v>5</v>
      </c>
    </row>
    <row r="8" spans="1:9" x14ac:dyDescent="0.2">
      <c r="A8" s="10"/>
      <c r="B8" s="11"/>
      <c r="C8" s="12"/>
      <c r="D8" s="13" t="s">
        <v>20</v>
      </c>
      <c r="E8" s="12"/>
      <c r="F8" s="12">
        <v>3</v>
      </c>
      <c r="G8" s="12">
        <v>275</v>
      </c>
      <c r="H8" s="12">
        <v>10</v>
      </c>
      <c r="I8" s="11">
        <v>5</v>
      </c>
    </row>
    <row r="9" spans="1:9" x14ac:dyDescent="0.2">
      <c r="A9" s="10"/>
      <c r="B9" s="11"/>
      <c r="C9" s="12"/>
      <c r="D9" s="13" t="s">
        <v>21</v>
      </c>
      <c r="E9" s="12">
        <v>2</v>
      </c>
      <c r="F9" s="12">
        <v>6</v>
      </c>
      <c r="G9" s="12">
        <v>1000</v>
      </c>
      <c r="H9" s="12">
        <v>75</v>
      </c>
      <c r="I9" s="11">
        <f>1.8 * MIN(6, MAX(E9,F9)) + 0.45 * MIN(6, MIN(E9,F9)) + IF(E9&gt;6, (E9-6)*0.2) + IF(F9&gt;6, (F9-6)*0.2)</f>
        <v>11.700000000000001</v>
      </c>
    </row>
    <row r="10" spans="1:9" x14ac:dyDescent="0.2">
      <c r="A10" s="10"/>
      <c r="B10" s="11"/>
      <c r="C10" s="12"/>
      <c r="D10" s="13" t="s">
        <v>22</v>
      </c>
      <c r="E10" s="12">
        <v>6</v>
      </c>
      <c r="F10" s="12">
        <v>3</v>
      </c>
      <c r="G10" s="12">
        <v>1250</v>
      </c>
      <c r="H10" s="12">
        <v>100</v>
      </c>
      <c r="I10" s="11">
        <f>1.8 * MIN(6, MAX(E10,F10)) + 0.45 * MIN(6, MIN(E10,F10)) + IF(E10&gt;6, (E10-6)*0.2) + IF(F10&gt;6, (F10-6)*0.2)</f>
        <v>12.15</v>
      </c>
    </row>
    <row r="11" spans="1:9" x14ac:dyDescent="0.2">
      <c r="A11" s="6" t="s">
        <v>23</v>
      </c>
      <c r="B11" s="7" t="s">
        <v>11</v>
      </c>
      <c r="C11" s="8" t="s">
        <v>24</v>
      </c>
      <c r="D11" s="9" t="s">
        <v>25</v>
      </c>
      <c r="E11" s="8">
        <v>3</v>
      </c>
      <c r="F11" s="8"/>
      <c r="G11" s="8">
        <v>275</v>
      </c>
      <c r="H11" s="8">
        <v>25</v>
      </c>
      <c r="I11" s="7">
        <v>5</v>
      </c>
    </row>
    <row r="12" spans="1:9" x14ac:dyDescent="0.2">
      <c r="A12" s="10"/>
      <c r="B12" s="11"/>
      <c r="C12" s="12"/>
      <c r="D12" s="13" t="s">
        <v>26</v>
      </c>
      <c r="E12" s="12"/>
      <c r="F12" s="12">
        <v>3</v>
      </c>
      <c r="G12" s="12">
        <v>350</v>
      </c>
      <c r="H12" s="12">
        <v>25</v>
      </c>
      <c r="I12" s="11">
        <v>5</v>
      </c>
    </row>
    <row r="13" spans="1:9" x14ac:dyDescent="0.2">
      <c r="A13" s="10"/>
      <c r="B13" s="11"/>
      <c r="C13" s="12"/>
      <c r="D13" s="13" t="s">
        <v>27</v>
      </c>
      <c r="E13" s="12">
        <v>4</v>
      </c>
      <c r="F13" s="12">
        <v>4</v>
      </c>
      <c r="G13" s="12">
        <v>760</v>
      </c>
      <c r="H13" s="12">
        <v>0</v>
      </c>
      <c r="I13" s="11">
        <f>1.8 * MIN(6, MAX(E13,F13)) + 0.45 * MIN(6, MIN(E13,F13)) + IF(E13&gt;6, (E13-6)*0.2) + IF(F13&gt;6, (F13-6)*0.2)</f>
        <v>9</v>
      </c>
    </row>
    <row r="14" spans="1:9" x14ac:dyDescent="0.2">
      <c r="A14" s="14"/>
      <c r="B14" s="15"/>
      <c r="C14" s="16"/>
      <c r="D14" s="17" t="s">
        <v>28</v>
      </c>
      <c r="E14" s="16">
        <v>7</v>
      </c>
      <c r="F14" s="16">
        <v>2</v>
      </c>
      <c r="G14" s="16">
        <v>1250</v>
      </c>
      <c r="H14" s="16">
        <v>110</v>
      </c>
      <c r="I14" s="11">
        <f>1.8 * MIN(6, MAX(E14,F14)) + 0.45 * MIN(6, MIN(E14,F14)) + IF(E14&gt;6, (E14-6)*0.2) + IF(F14&gt;6, (F14-6)*0.2)</f>
        <v>11.9</v>
      </c>
    </row>
    <row r="15" spans="1:9" x14ac:dyDescent="0.2">
      <c r="A15" s="6" t="s">
        <v>29</v>
      </c>
      <c r="B15" s="7" t="s">
        <v>11</v>
      </c>
      <c r="C15" s="8" t="s">
        <v>30</v>
      </c>
      <c r="D15" s="9" t="s">
        <v>31</v>
      </c>
      <c r="E15" s="8">
        <v>3</v>
      </c>
      <c r="F15" s="8"/>
      <c r="G15" s="8">
        <v>275</v>
      </c>
      <c r="H15" s="8">
        <v>25</v>
      </c>
      <c r="I15" s="7">
        <v>5</v>
      </c>
    </row>
    <row r="16" spans="1:9" x14ac:dyDescent="0.2">
      <c r="A16" s="10"/>
      <c r="B16" s="11"/>
      <c r="C16" s="12"/>
      <c r="D16" s="13" t="s">
        <v>32</v>
      </c>
      <c r="E16" s="12"/>
      <c r="F16" s="12">
        <v>4</v>
      </c>
      <c r="G16" s="12">
        <v>350</v>
      </c>
      <c r="H16" s="12">
        <v>10</v>
      </c>
      <c r="I16" s="11">
        <v>5</v>
      </c>
    </row>
    <row r="17" spans="1:9" x14ac:dyDescent="0.2">
      <c r="A17" s="10"/>
      <c r="B17" s="11"/>
      <c r="C17" s="12"/>
      <c r="D17" s="13" t="s">
        <v>33</v>
      </c>
      <c r="E17" s="12">
        <v>0</v>
      </c>
      <c r="F17" s="12">
        <v>4</v>
      </c>
      <c r="G17" s="12">
        <v>1125</v>
      </c>
      <c r="H17" s="12">
        <v>0</v>
      </c>
      <c r="I17" s="11">
        <f>1.8 * MIN(6, MAX(E17,F17)) + 0.45 * MIN(6, MIN(E17,F17)) + IF(E17&gt;6, (E17-6)*0.2) + IF(F17&gt;6, (F17-6)*0.2)</f>
        <v>7.2</v>
      </c>
    </row>
    <row r="18" spans="1:9" x14ac:dyDescent="0.2">
      <c r="A18" s="14"/>
      <c r="B18" s="15"/>
      <c r="C18" s="16"/>
      <c r="D18" s="17" t="s">
        <v>34</v>
      </c>
      <c r="E18" s="16">
        <v>3</v>
      </c>
      <c r="F18" s="16">
        <v>1</v>
      </c>
      <c r="G18" s="16">
        <v>1050</v>
      </c>
      <c r="H18" s="16">
        <v>0</v>
      </c>
      <c r="I18" s="11">
        <f>1.8 * MIN(6, MAX(E18,F18)) + 0.45 * MIN(6, MIN(E18,F18)) + IF(E18&gt;6, (E18-6)*0.2) + IF(F18&gt;6, (F18-6)*0.2)</f>
        <v>5.8500000000000005</v>
      </c>
    </row>
    <row r="19" spans="1:9" x14ac:dyDescent="0.2">
      <c r="A19" s="6" t="s">
        <v>35</v>
      </c>
      <c r="B19" s="7" t="s">
        <v>11</v>
      </c>
      <c r="C19" s="8" t="s">
        <v>36</v>
      </c>
      <c r="D19" s="9" t="s">
        <v>37</v>
      </c>
      <c r="E19" s="8">
        <v>3</v>
      </c>
      <c r="F19" s="8"/>
      <c r="G19" s="8">
        <v>275</v>
      </c>
      <c r="H19" s="8">
        <v>15</v>
      </c>
      <c r="I19" s="7">
        <v>5</v>
      </c>
    </row>
    <row r="20" spans="1:9" x14ac:dyDescent="0.2">
      <c r="A20" s="10"/>
      <c r="B20" s="11"/>
      <c r="C20" s="12"/>
      <c r="D20" s="13" t="s">
        <v>38</v>
      </c>
      <c r="E20" s="12"/>
      <c r="F20" s="12">
        <v>3</v>
      </c>
      <c r="G20" s="12">
        <v>300</v>
      </c>
      <c r="H20" s="12">
        <v>0</v>
      </c>
      <c r="I20" s="11">
        <v>5</v>
      </c>
    </row>
    <row r="21" spans="1:9" x14ac:dyDescent="0.2">
      <c r="A21" s="10"/>
      <c r="B21" s="11"/>
      <c r="C21" s="12"/>
      <c r="D21" s="13" t="s">
        <v>39</v>
      </c>
      <c r="E21" s="12">
        <v>2</v>
      </c>
      <c r="F21" s="12">
        <v>4</v>
      </c>
      <c r="G21" s="12">
        <v>900</v>
      </c>
      <c r="H21" s="12">
        <v>30</v>
      </c>
      <c r="I21" s="11">
        <v>8.1</v>
      </c>
    </row>
    <row r="22" spans="1:9" x14ac:dyDescent="0.2">
      <c r="A22" s="14"/>
      <c r="B22" s="15"/>
      <c r="C22" s="16"/>
      <c r="D22" s="13" t="s">
        <v>40</v>
      </c>
      <c r="E22" s="12">
        <v>5</v>
      </c>
      <c r="F22" s="12">
        <v>3</v>
      </c>
      <c r="G22" s="12">
        <v>900</v>
      </c>
      <c r="H22" s="12">
        <v>25</v>
      </c>
      <c r="I22" s="11">
        <f>1.8 * MIN(6, MAX(E22,F22)) + 0.45 * MIN(6, MIN(E22,F22)) + IF(E22&gt;6, (E22-6)*0.2) + IF(F22&gt;6, (F22-6)*0.2)</f>
        <v>10.35</v>
      </c>
    </row>
    <row r="23" spans="1:9" x14ac:dyDescent="0.2">
      <c r="A23" s="6" t="s">
        <v>41</v>
      </c>
      <c r="B23" s="7" t="s">
        <v>11</v>
      </c>
      <c r="C23" s="8" t="s">
        <v>24</v>
      </c>
      <c r="D23" s="9" t="s">
        <v>42</v>
      </c>
      <c r="E23" s="8">
        <v>4</v>
      </c>
      <c r="F23" s="8"/>
      <c r="G23" s="8">
        <v>200</v>
      </c>
      <c r="H23" s="8">
        <v>50</v>
      </c>
      <c r="I23" s="7">
        <v>5</v>
      </c>
    </row>
    <row r="24" spans="1:9" x14ac:dyDescent="0.2">
      <c r="A24" s="10"/>
      <c r="B24" s="11"/>
      <c r="C24" s="12"/>
      <c r="D24" s="13" t="s">
        <v>43</v>
      </c>
      <c r="E24" s="12"/>
      <c r="F24" s="12">
        <v>3</v>
      </c>
      <c r="G24" s="12">
        <v>300</v>
      </c>
      <c r="H24" s="12">
        <v>5</v>
      </c>
      <c r="I24" s="11">
        <v>5</v>
      </c>
    </row>
    <row r="25" spans="1:9" x14ac:dyDescent="0.2">
      <c r="A25" s="10"/>
      <c r="B25" s="11"/>
      <c r="C25" s="12"/>
      <c r="D25" s="13" t="s">
        <v>44</v>
      </c>
      <c r="E25" s="12">
        <v>2</v>
      </c>
      <c r="F25" s="12">
        <v>4</v>
      </c>
      <c r="G25" s="12">
        <v>675</v>
      </c>
      <c r="H25" s="12">
        <v>330</v>
      </c>
      <c r="I25" s="11">
        <f>1.8 * MIN(6, MAX(E25,F25)) + 0.45 * MIN(6, MIN(E25,F25)) + IF(E25&gt;6, (E25-6)*0.2) + IF(F25&gt;6, (F25-6)*0.2)</f>
        <v>8.1</v>
      </c>
    </row>
    <row r="26" spans="1:9" x14ac:dyDescent="0.2">
      <c r="A26" s="14"/>
      <c r="B26" s="15"/>
      <c r="C26" s="16"/>
      <c r="D26" s="17" t="s">
        <v>45</v>
      </c>
      <c r="E26" s="16">
        <v>7</v>
      </c>
      <c r="F26" s="16">
        <v>3</v>
      </c>
      <c r="G26" s="16">
        <v>775</v>
      </c>
      <c r="H26" s="16">
        <v>550</v>
      </c>
      <c r="I26" s="11">
        <f>1.8 * MIN(6, MAX(E26,F26)) + 0.45 * MIN(6, MIN(E26,F26)) + IF(E26&gt;6, (E26-6)*0.2) + IF(F26&gt;6, (F26-6)*0.2)</f>
        <v>12.35</v>
      </c>
    </row>
    <row r="27" spans="1:9" x14ac:dyDescent="0.2">
      <c r="A27" s="6" t="s">
        <v>46</v>
      </c>
      <c r="B27" s="7" t="s">
        <v>11</v>
      </c>
      <c r="C27" s="8" t="s">
        <v>47</v>
      </c>
      <c r="D27" s="9" t="s">
        <v>48</v>
      </c>
      <c r="E27" s="8">
        <v>3</v>
      </c>
      <c r="F27" s="8"/>
      <c r="G27" s="8">
        <v>275</v>
      </c>
      <c r="H27" s="8">
        <v>0</v>
      </c>
      <c r="I27" s="7">
        <v>5</v>
      </c>
    </row>
    <row r="28" spans="1:9" x14ac:dyDescent="0.2">
      <c r="A28" s="10"/>
      <c r="B28" s="11"/>
      <c r="C28" s="12"/>
      <c r="D28" s="13" t="s">
        <v>49</v>
      </c>
      <c r="E28" s="12"/>
      <c r="F28" s="12">
        <v>3</v>
      </c>
      <c r="G28" s="12">
        <v>300</v>
      </c>
      <c r="H28" s="12">
        <v>0</v>
      </c>
      <c r="I28" s="11">
        <v>5</v>
      </c>
    </row>
    <row r="29" spans="1:9" x14ac:dyDescent="0.2">
      <c r="A29" s="10"/>
      <c r="B29" s="11"/>
      <c r="C29" s="12"/>
      <c r="D29" s="13" t="s">
        <v>50</v>
      </c>
      <c r="E29" s="12">
        <v>0</v>
      </c>
      <c r="F29" s="12">
        <v>7</v>
      </c>
      <c r="G29" s="12">
        <v>1350</v>
      </c>
      <c r="H29" s="12">
        <v>0</v>
      </c>
      <c r="I29" s="11">
        <v>11</v>
      </c>
    </row>
    <row r="30" spans="1:9" x14ac:dyDescent="0.2">
      <c r="A30" s="14"/>
      <c r="B30" s="15"/>
      <c r="C30" s="16"/>
      <c r="D30" s="13" t="s">
        <v>51</v>
      </c>
      <c r="E30" s="12">
        <v>4</v>
      </c>
      <c r="F30" s="12">
        <v>2</v>
      </c>
      <c r="G30" s="12">
        <v>600</v>
      </c>
      <c r="H30" s="12">
        <v>0</v>
      </c>
      <c r="I30" s="11">
        <f>1.8 * MIN(6, MAX(E30,F30)) + 0.45 * MIN(6, MIN(E30,F30)) + IF(E30&gt;6, (E30-6)*0.2) + IF(F30&gt;6, (F30-6)*0.2)</f>
        <v>8.1</v>
      </c>
    </row>
    <row r="31" spans="1:9" x14ac:dyDescent="0.2">
      <c r="A31" s="6" t="s">
        <v>52</v>
      </c>
      <c r="B31" s="7" t="s">
        <v>11</v>
      </c>
      <c r="C31" s="8" t="s">
        <v>30</v>
      </c>
      <c r="D31" s="9" t="s">
        <v>53</v>
      </c>
      <c r="E31" s="8">
        <v>3</v>
      </c>
      <c r="F31" s="8"/>
      <c r="G31" s="8">
        <v>275</v>
      </c>
      <c r="H31" s="8">
        <v>0</v>
      </c>
      <c r="I31" s="7">
        <v>5</v>
      </c>
    </row>
    <row r="32" spans="1:9" x14ac:dyDescent="0.2">
      <c r="A32" s="10"/>
      <c r="B32" s="11"/>
      <c r="C32" s="12"/>
      <c r="D32" s="13" t="s">
        <v>54</v>
      </c>
      <c r="E32" s="12"/>
      <c r="F32" s="12">
        <v>3</v>
      </c>
      <c r="G32" s="12">
        <v>300</v>
      </c>
      <c r="H32" s="12">
        <v>0</v>
      </c>
      <c r="I32" s="11">
        <v>5</v>
      </c>
    </row>
    <row r="33" spans="1:9" x14ac:dyDescent="0.2">
      <c r="A33" s="10"/>
      <c r="B33" s="11"/>
      <c r="C33" s="12"/>
      <c r="D33" s="13" t="s">
        <v>55</v>
      </c>
      <c r="E33" s="12">
        <v>0</v>
      </c>
      <c r="F33" s="12">
        <v>3</v>
      </c>
      <c r="G33" s="12">
        <v>1050</v>
      </c>
      <c r="H33" s="12">
        <v>0</v>
      </c>
      <c r="I33" s="11">
        <f>1.8 * MIN(6, MAX(E33,F33)) + 0.45 * MIN(6, MIN(E33,F33)) + IF(E33&gt;6, (E33-6)*0.2) + IF(F33&gt;6, (F33-6)*0.2)</f>
        <v>5.4</v>
      </c>
    </row>
    <row r="34" spans="1:9" x14ac:dyDescent="0.2">
      <c r="A34" s="14"/>
      <c r="B34" s="15"/>
      <c r="C34" s="16"/>
      <c r="D34" s="17" t="s">
        <v>56</v>
      </c>
      <c r="E34" s="16">
        <v>5.5</v>
      </c>
      <c r="F34" s="16">
        <v>2</v>
      </c>
      <c r="G34" s="16">
        <v>900</v>
      </c>
      <c r="H34" s="16">
        <v>90</v>
      </c>
      <c r="I34" s="11">
        <f>1.8 * MIN(6, MAX(E34,F34)) + 0.45 * MIN(6, MIN(E34,F34)) + IF(E34&gt;6, (E34-6)*0.2) + IF(F34&gt;6, (F34-6)*0.2)</f>
        <v>10.8</v>
      </c>
    </row>
    <row r="35" spans="1:9" x14ac:dyDescent="0.2">
      <c r="A35" s="6" t="s">
        <v>57</v>
      </c>
      <c r="B35" s="7" t="s">
        <v>18</v>
      </c>
      <c r="C35" s="8" t="s">
        <v>36</v>
      </c>
      <c r="D35" s="9" t="s">
        <v>58</v>
      </c>
      <c r="E35" s="8">
        <v>3</v>
      </c>
      <c r="F35" s="8"/>
      <c r="G35" s="8">
        <v>325</v>
      </c>
      <c r="H35" s="8">
        <v>25</v>
      </c>
      <c r="I35" s="7">
        <v>5</v>
      </c>
    </row>
    <row r="36" spans="1:9" x14ac:dyDescent="0.2">
      <c r="A36" s="10"/>
      <c r="B36" s="11"/>
      <c r="C36" s="12"/>
      <c r="D36" s="13" t="s">
        <v>59</v>
      </c>
      <c r="E36" s="12"/>
      <c r="F36" s="12">
        <v>3</v>
      </c>
      <c r="G36" s="12">
        <v>375</v>
      </c>
      <c r="H36" s="12">
        <v>15</v>
      </c>
      <c r="I36" s="11">
        <v>5</v>
      </c>
    </row>
    <row r="37" spans="1:9" x14ac:dyDescent="0.2">
      <c r="A37" s="10"/>
      <c r="B37" s="11"/>
      <c r="C37" s="12"/>
      <c r="D37" s="13" t="s">
        <v>60</v>
      </c>
      <c r="E37" s="12">
        <v>5</v>
      </c>
      <c r="F37" s="12">
        <v>3</v>
      </c>
      <c r="G37" s="12">
        <v>1000</v>
      </c>
      <c r="H37" s="12">
        <v>80</v>
      </c>
      <c r="I37" s="11">
        <f>1.8 * MIN(6, MAX(E37,F37)) + 0.45 * MIN(6, MIN(E37,F37)) + IF(E37&gt;6, (E37-6)*0.2) + IF(F37&gt;6, (F37-6)*0.2)</f>
        <v>10.35</v>
      </c>
    </row>
    <row r="38" spans="1:9" x14ac:dyDescent="0.2">
      <c r="A38" s="14"/>
      <c r="B38" s="15"/>
      <c r="C38" s="16"/>
      <c r="D38" s="17" t="s">
        <v>61</v>
      </c>
      <c r="E38" s="16">
        <v>6</v>
      </c>
      <c r="F38" s="16">
        <v>2</v>
      </c>
      <c r="G38" s="16">
        <v>1300</v>
      </c>
      <c r="H38" s="16">
        <v>130</v>
      </c>
      <c r="I38" s="11">
        <f>1.8 * MIN(6, MAX(E38,F38)) + 0.45 * MIN(6, MIN(E38,F38)) + IF(E38&gt;6, (E38-6)*0.2) + IF(F38&gt;6, (F38-6)*0.2)</f>
        <v>11.700000000000001</v>
      </c>
    </row>
    <row r="39" spans="1:9" x14ac:dyDescent="0.2">
      <c r="A39" s="6" t="s">
        <v>62</v>
      </c>
      <c r="B39" s="7" t="s">
        <v>18</v>
      </c>
      <c r="C39" s="8" t="s">
        <v>12</v>
      </c>
      <c r="D39" s="9" t="s">
        <v>63</v>
      </c>
      <c r="E39" s="8">
        <v>4</v>
      </c>
      <c r="F39" s="8"/>
      <c r="G39" s="8">
        <v>350</v>
      </c>
      <c r="H39" s="8">
        <v>25</v>
      </c>
      <c r="I39" s="7">
        <v>5</v>
      </c>
    </row>
    <row r="40" spans="1:9" x14ac:dyDescent="0.2">
      <c r="A40" s="10"/>
      <c r="B40" s="11"/>
      <c r="C40" s="12"/>
      <c r="D40" s="13" t="s">
        <v>64</v>
      </c>
      <c r="E40" s="12"/>
      <c r="F40" s="12">
        <v>3</v>
      </c>
      <c r="G40" s="12">
        <v>300</v>
      </c>
      <c r="H40" s="12">
        <v>25</v>
      </c>
      <c r="I40" s="11">
        <v>5</v>
      </c>
    </row>
    <row r="41" spans="1:9" x14ac:dyDescent="0.2">
      <c r="A41" s="10"/>
      <c r="B41" s="11"/>
      <c r="C41" s="12"/>
      <c r="D41" s="13" t="s">
        <v>65</v>
      </c>
      <c r="E41" s="12">
        <v>5</v>
      </c>
      <c r="F41" s="12">
        <v>3</v>
      </c>
      <c r="G41" s="12">
        <v>1000</v>
      </c>
      <c r="H41" s="12">
        <v>100</v>
      </c>
      <c r="I41" s="11">
        <f>1.8 * MIN(6, MAX(E41,F41)) + 0.45 * MIN(6, MIN(E41,F41)) + IF(E41&gt;6, (E41-6)*0.2) + IF(F41&gt;6, (F41-6)*0.2)</f>
        <v>10.35</v>
      </c>
    </row>
    <row r="42" spans="1:9" x14ac:dyDescent="0.2">
      <c r="A42" s="14"/>
      <c r="B42" s="15"/>
      <c r="C42" s="16"/>
      <c r="D42" s="17" t="s">
        <v>66</v>
      </c>
      <c r="E42" s="16">
        <v>7</v>
      </c>
      <c r="F42" s="16">
        <v>7</v>
      </c>
      <c r="G42" s="16">
        <v>1450</v>
      </c>
      <c r="H42" s="16">
        <v>150</v>
      </c>
      <c r="I42" s="11">
        <f>1.8 * MIN(6, MAX(E42,F42)) + 0.45 * MIN(6, MIN(E42,F42)) + IF(E42&gt;6, (E42-6)*0.2) + IF(F42&gt;6, (F42-6)*0.2)</f>
        <v>13.899999999999999</v>
      </c>
    </row>
    <row r="43" spans="1:9" x14ac:dyDescent="0.2">
      <c r="A43" s="6" t="s">
        <v>67</v>
      </c>
      <c r="B43" s="7" t="s">
        <v>18</v>
      </c>
      <c r="C43" s="8" t="s">
        <v>68</v>
      </c>
      <c r="D43" s="9" t="s">
        <v>69</v>
      </c>
      <c r="E43" s="8">
        <v>4</v>
      </c>
      <c r="F43" s="8"/>
      <c r="G43" s="8">
        <v>325</v>
      </c>
      <c r="H43" s="8">
        <v>25</v>
      </c>
      <c r="I43" s="7">
        <v>5</v>
      </c>
    </row>
    <row r="44" spans="1:9" x14ac:dyDescent="0.2">
      <c r="A44" s="10"/>
      <c r="B44" s="11"/>
      <c r="C44" s="12"/>
      <c r="D44" s="13" t="s">
        <v>70</v>
      </c>
      <c r="E44" s="12"/>
      <c r="F44" s="12">
        <v>3</v>
      </c>
      <c r="G44" s="12">
        <v>300</v>
      </c>
      <c r="H44" s="12">
        <v>15</v>
      </c>
      <c r="I44" s="11">
        <v>5</v>
      </c>
    </row>
    <row r="45" spans="1:9" x14ac:dyDescent="0.2">
      <c r="A45" s="10"/>
      <c r="B45" s="11"/>
      <c r="C45" s="12"/>
      <c r="D45" s="13" t="s">
        <v>71</v>
      </c>
      <c r="E45" s="12">
        <v>2</v>
      </c>
      <c r="F45" s="12">
        <v>4</v>
      </c>
      <c r="G45" s="12">
        <v>1000</v>
      </c>
      <c r="H45" s="12">
        <v>55</v>
      </c>
      <c r="I45" s="11">
        <f>1.8 * MIN(6, MAX(E45,F45)) + 0.45 * MIN(6, MIN(E45,F45)) + IF(E45&gt;6, (E45-6)*0.2) + IF(F45&gt;6, (F45-6)*0.2)</f>
        <v>8.1</v>
      </c>
    </row>
    <row r="46" spans="1:9" x14ac:dyDescent="0.2">
      <c r="A46" s="14"/>
      <c r="B46" s="15"/>
      <c r="C46" s="16"/>
      <c r="D46" s="17" t="s">
        <v>72</v>
      </c>
      <c r="E46" s="16">
        <v>5.5</v>
      </c>
      <c r="F46" s="16">
        <v>0</v>
      </c>
      <c r="G46" s="16">
        <v>1050</v>
      </c>
      <c r="H46" s="16">
        <v>55</v>
      </c>
      <c r="I46" s="11">
        <f>1.8 * MIN(6, MAX(E46,F46)) + 0.45 * MIN(6, MIN(E46,F46)) + IF(E46&gt;6, (E46-6)*0.2) + IF(F46&gt;6, (F46-6)*0.2)</f>
        <v>9.9</v>
      </c>
    </row>
    <row r="47" spans="1:9" x14ac:dyDescent="0.2">
      <c r="A47" s="6" t="s">
        <v>73</v>
      </c>
      <c r="B47" s="7" t="s">
        <v>18</v>
      </c>
      <c r="C47" s="8" t="s">
        <v>74</v>
      </c>
      <c r="D47" s="9" t="s">
        <v>75</v>
      </c>
      <c r="E47" s="8">
        <v>2.5</v>
      </c>
      <c r="F47" s="8"/>
      <c r="G47" s="8">
        <v>225</v>
      </c>
      <c r="H47" s="8">
        <v>0</v>
      </c>
      <c r="I47" s="7">
        <v>5</v>
      </c>
    </row>
    <row r="48" spans="1:9" x14ac:dyDescent="0.2">
      <c r="A48" s="10"/>
      <c r="B48" s="11"/>
      <c r="C48" s="12"/>
      <c r="D48" s="13" t="s">
        <v>76</v>
      </c>
      <c r="E48" s="12"/>
      <c r="F48" s="12">
        <v>2.5</v>
      </c>
      <c r="G48" s="12">
        <v>225</v>
      </c>
      <c r="H48" s="12">
        <v>0</v>
      </c>
      <c r="I48" s="11">
        <v>5</v>
      </c>
    </row>
    <row r="49" spans="1:9" x14ac:dyDescent="0.2">
      <c r="A49" s="10"/>
      <c r="B49" s="11"/>
      <c r="C49" s="12"/>
      <c r="D49" s="13" t="s">
        <v>77</v>
      </c>
      <c r="E49" s="12">
        <v>2</v>
      </c>
      <c r="F49" s="12">
        <v>4</v>
      </c>
      <c r="G49" s="12">
        <v>900</v>
      </c>
      <c r="H49" s="12">
        <v>0</v>
      </c>
      <c r="I49" s="11">
        <f>1.8 * MIN(6, MAX(E49,F49)) + 0.45 * MIN(6, MIN(E49,F49)) + IF(E49&gt;6, (E49-6)*0.2) + IF(F49&gt;6, (F49-6)*0.2)</f>
        <v>8.1</v>
      </c>
    </row>
    <row r="50" spans="1:9" x14ac:dyDescent="0.2">
      <c r="A50" s="14"/>
      <c r="B50" s="15"/>
      <c r="C50" s="16"/>
      <c r="D50" s="17" t="s">
        <v>78</v>
      </c>
      <c r="E50" s="16">
        <v>4</v>
      </c>
      <c r="F50" s="16">
        <v>3</v>
      </c>
      <c r="G50" s="16">
        <v>1000</v>
      </c>
      <c r="H50" s="16">
        <v>0</v>
      </c>
      <c r="I50" s="11">
        <f>1.8 * MIN(6, MAX(E50,F50)) + 0.45 * MIN(6, MIN(E50,F50)) + IF(E50&gt;6, (E50-6)*0.2) + IF(F50&gt;6, (F50-6)*0.2)</f>
        <v>8.5500000000000007</v>
      </c>
    </row>
    <row r="51" spans="1:9" x14ac:dyDescent="0.2">
      <c r="A51" s="6" t="s">
        <v>79</v>
      </c>
      <c r="B51" s="7" t="s">
        <v>11</v>
      </c>
      <c r="C51" s="8" t="s">
        <v>74</v>
      </c>
      <c r="D51" s="9" t="s">
        <v>80</v>
      </c>
      <c r="E51" s="8">
        <v>2.5</v>
      </c>
      <c r="F51" s="8"/>
      <c r="G51" s="8">
        <v>225</v>
      </c>
      <c r="H51" s="8">
        <v>0</v>
      </c>
      <c r="I51" s="7">
        <v>5</v>
      </c>
    </row>
    <row r="52" spans="1:9" x14ac:dyDescent="0.2">
      <c r="A52" s="10"/>
      <c r="B52" s="11"/>
      <c r="C52" s="12"/>
      <c r="D52" s="13" t="s">
        <v>81</v>
      </c>
      <c r="E52" s="12"/>
      <c r="F52" s="12">
        <v>2.5</v>
      </c>
      <c r="G52" s="12">
        <v>225</v>
      </c>
      <c r="H52" s="12">
        <v>0</v>
      </c>
      <c r="I52" s="11">
        <v>5</v>
      </c>
    </row>
    <row r="53" spans="1:9" x14ac:dyDescent="0.2">
      <c r="A53" s="10"/>
      <c r="B53" s="11"/>
      <c r="C53" s="12"/>
      <c r="D53" s="13" t="s">
        <v>82</v>
      </c>
      <c r="E53" s="12">
        <v>2</v>
      </c>
      <c r="F53" s="12">
        <v>4</v>
      </c>
      <c r="G53" s="12">
        <v>900</v>
      </c>
      <c r="H53" s="12">
        <v>0</v>
      </c>
      <c r="I53" s="11">
        <f>1.8 * MIN(6, MAX(E53,F53)) + 0.45 * MIN(6, MIN(E53,F53)) + IF(E53&gt;6, (E53-6)*0.2) + IF(F53&gt;6, (F53-6)*0.2)</f>
        <v>8.1</v>
      </c>
    </row>
    <row r="54" spans="1:9" x14ac:dyDescent="0.2">
      <c r="A54" s="14"/>
      <c r="B54" s="15"/>
      <c r="C54" s="16"/>
      <c r="D54" s="17" t="s">
        <v>83</v>
      </c>
      <c r="E54" s="16">
        <v>4</v>
      </c>
      <c r="F54" s="16">
        <v>3</v>
      </c>
      <c r="G54" s="16">
        <v>1000</v>
      </c>
      <c r="H54" s="16">
        <v>0</v>
      </c>
      <c r="I54" s="11">
        <f>1.8 * MIN(6, MAX(E54,F54)) + 0.45 * MIN(6, MIN(E54,F54)) + IF(E54&gt;6, (E54-6)*0.2) + IF(F54&gt;6, (F54-6)*0.2)</f>
        <v>8.5500000000000007</v>
      </c>
    </row>
    <row r="55" spans="1:9" x14ac:dyDescent="0.2">
      <c r="A55" s="6" t="s">
        <v>84</v>
      </c>
      <c r="B55" s="7" t="s">
        <v>18</v>
      </c>
      <c r="C55" s="8" t="s">
        <v>68</v>
      </c>
      <c r="D55" s="9" t="s">
        <v>85</v>
      </c>
      <c r="E55" s="8">
        <v>3</v>
      </c>
      <c r="F55" s="8"/>
      <c r="G55" s="8">
        <v>300</v>
      </c>
      <c r="H55" s="8">
        <v>25</v>
      </c>
      <c r="I55" s="7">
        <v>5</v>
      </c>
    </row>
    <row r="56" spans="1:9" x14ac:dyDescent="0.2">
      <c r="A56" s="10"/>
      <c r="B56" s="11"/>
      <c r="C56" s="12"/>
      <c r="D56" s="13" t="s">
        <v>86</v>
      </c>
      <c r="E56" s="12"/>
      <c r="F56" s="12">
        <v>3</v>
      </c>
      <c r="G56" s="12">
        <v>250</v>
      </c>
      <c r="H56" s="12">
        <v>0</v>
      </c>
      <c r="I56" s="11">
        <v>5</v>
      </c>
    </row>
    <row r="57" spans="1:9" x14ac:dyDescent="0.2">
      <c r="A57" s="10"/>
      <c r="B57" s="11"/>
      <c r="C57" s="12"/>
      <c r="D57" s="13" t="s">
        <v>87</v>
      </c>
      <c r="E57" s="12">
        <v>4</v>
      </c>
      <c r="F57" s="12">
        <v>4</v>
      </c>
      <c r="G57" s="12">
        <v>850</v>
      </c>
      <c r="H57" s="12">
        <v>55</v>
      </c>
      <c r="I57" s="11">
        <f>1.8 * MIN(6, MAX(E57,F57)) + 0.45 * MIN(6, MIN(E57,F57)) + IF(E57&gt;6, (E57-6)*0.2) + IF(F57&gt;6, (F57-6)*0.2)</f>
        <v>9</v>
      </c>
    </row>
    <row r="58" spans="1:9" x14ac:dyDescent="0.2">
      <c r="A58" s="14"/>
      <c r="B58" s="15"/>
      <c r="C58" s="16"/>
      <c r="D58" s="17" t="s">
        <v>88</v>
      </c>
      <c r="E58" s="16">
        <v>6</v>
      </c>
      <c r="F58" s="16">
        <v>0</v>
      </c>
      <c r="G58" s="16">
        <v>1100</v>
      </c>
      <c r="H58" s="16">
        <v>110</v>
      </c>
      <c r="I58" s="11">
        <f>1.8 * MIN(6, MAX(E58,F58)) + 0.45 * MIN(6, MIN(E58,F58)) + IF(E58&gt;6, (E58-6)*0.2) + IF(F58&gt;6, (F58-6)*0.2)</f>
        <v>10.8</v>
      </c>
    </row>
    <row r="59" spans="1:9" x14ac:dyDescent="0.2">
      <c r="A59" s="6" t="s">
        <v>89</v>
      </c>
      <c r="B59" s="7" t="s">
        <v>18</v>
      </c>
      <c r="C59" s="8" t="s">
        <v>36</v>
      </c>
      <c r="D59" s="9" t="s">
        <v>90</v>
      </c>
      <c r="E59" s="8">
        <v>2</v>
      </c>
      <c r="F59" s="8"/>
      <c r="G59" s="8">
        <v>235</v>
      </c>
      <c r="H59" s="8">
        <v>15</v>
      </c>
      <c r="I59" s="7">
        <v>5</v>
      </c>
    </row>
    <row r="60" spans="1:9" x14ac:dyDescent="0.2">
      <c r="A60" s="10"/>
      <c r="B60" s="11"/>
      <c r="C60" s="12"/>
      <c r="D60" s="13" t="s">
        <v>91</v>
      </c>
      <c r="E60" s="12"/>
      <c r="F60" s="12">
        <v>2</v>
      </c>
      <c r="G60" s="12">
        <v>245</v>
      </c>
      <c r="H60" s="12">
        <v>20</v>
      </c>
      <c r="I60" s="11">
        <v>5</v>
      </c>
    </row>
    <row r="61" spans="1:9" x14ac:dyDescent="0.2">
      <c r="A61" s="10"/>
      <c r="B61" s="11"/>
      <c r="C61" s="12"/>
      <c r="D61" s="13" t="s">
        <v>92</v>
      </c>
      <c r="E61" s="12">
        <v>0</v>
      </c>
      <c r="F61" s="12">
        <v>3</v>
      </c>
      <c r="G61" s="12">
        <v>975</v>
      </c>
      <c r="H61" s="12">
        <v>0</v>
      </c>
      <c r="I61" s="11">
        <f>1.8 * MIN(6, MAX(E61,F61)) + 0.45 * MIN(6, MIN(E61,F61)) + IF(E61&gt;6, (E61-6)*0.2) + IF(F61&gt;6, (F61-6)*0.2)</f>
        <v>5.4</v>
      </c>
    </row>
    <row r="62" spans="1:9" x14ac:dyDescent="0.2">
      <c r="A62" s="14"/>
      <c r="B62" s="15"/>
      <c r="C62" s="16"/>
      <c r="D62" s="17" t="s">
        <v>93</v>
      </c>
      <c r="E62" s="16">
        <v>3</v>
      </c>
      <c r="F62" s="16">
        <v>2</v>
      </c>
      <c r="G62" s="16">
        <v>875</v>
      </c>
      <c r="H62" s="16">
        <v>55</v>
      </c>
      <c r="I62" s="11">
        <f>1.8 * MIN(6, MAX(E62,F62)) + 0.45 * MIN(6, MIN(E62,F62)) + IF(E62&gt;6, (E62-6)*0.2) + IF(F62&gt;6, (F62-6)*0.2)</f>
        <v>6.3000000000000007</v>
      </c>
    </row>
    <row r="63" spans="1:9" x14ac:dyDescent="0.2">
      <c r="A63" s="6" t="s">
        <v>94</v>
      </c>
      <c r="B63" s="7" t="s">
        <v>18</v>
      </c>
      <c r="C63" s="8" t="s">
        <v>47</v>
      </c>
      <c r="D63" s="9" t="s">
        <v>95</v>
      </c>
      <c r="E63" s="8">
        <v>3</v>
      </c>
      <c r="F63" s="8"/>
      <c r="G63" s="8">
        <v>275</v>
      </c>
      <c r="H63" s="8">
        <v>0</v>
      </c>
      <c r="I63" s="7">
        <v>5</v>
      </c>
    </row>
    <row r="64" spans="1:9" x14ac:dyDescent="0.2">
      <c r="A64" s="10"/>
      <c r="B64" s="11"/>
      <c r="C64" s="12"/>
      <c r="D64" s="13" t="s">
        <v>96</v>
      </c>
      <c r="E64" s="12"/>
      <c r="F64" s="12">
        <v>3</v>
      </c>
      <c r="G64" s="12">
        <v>275</v>
      </c>
      <c r="H64" s="12">
        <v>0</v>
      </c>
      <c r="I64" s="11">
        <v>5</v>
      </c>
    </row>
    <row r="65" spans="1:9" x14ac:dyDescent="0.2">
      <c r="A65" s="10"/>
      <c r="B65" s="11"/>
      <c r="C65" s="12"/>
      <c r="D65" s="13" t="s">
        <v>97</v>
      </c>
      <c r="E65" s="12">
        <v>4</v>
      </c>
      <c r="F65" s="12">
        <v>4</v>
      </c>
      <c r="G65" s="12">
        <v>900</v>
      </c>
      <c r="H65" s="12">
        <v>0</v>
      </c>
      <c r="I65" s="11">
        <f>1.8 * MIN(6, MAX(E65,F65)) + 0.45 * MIN(6, MIN(E65,F65)) + IF(E65&gt;6, (E65-6)*0.2) + IF(F65&gt;6, (F65-6)*0.2)</f>
        <v>9</v>
      </c>
    </row>
    <row r="66" spans="1:9" x14ac:dyDescent="0.2">
      <c r="A66" s="14"/>
      <c r="B66" s="15"/>
      <c r="C66" s="16"/>
      <c r="D66" s="17" t="s">
        <v>98</v>
      </c>
      <c r="E66" s="16">
        <v>6</v>
      </c>
      <c r="F66" s="16">
        <v>2</v>
      </c>
      <c r="G66" s="16">
        <v>1050</v>
      </c>
      <c r="H66" s="16">
        <v>0</v>
      </c>
      <c r="I66" s="15">
        <f>1.8 * MIN(6, MAX(E66,F66)) + 0.45 * MIN(6, MIN(E66,F66)) + IF(E66&gt;6, (E66-6)*0.2) + IF(F66&gt;6, (F66-6)*0.2)</f>
        <v>11.700000000000001</v>
      </c>
    </row>
    <row r="67" spans="1:9" x14ac:dyDescent="0.2">
      <c r="A67" s="6" t="s">
        <v>99</v>
      </c>
      <c r="B67" s="7" t="s">
        <v>18</v>
      </c>
      <c r="C67" s="8" t="s">
        <v>24</v>
      </c>
      <c r="D67" s="9" t="s">
        <v>100</v>
      </c>
      <c r="E67" s="8">
        <v>3</v>
      </c>
      <c r="F67" s="8"/>
      <c r="G67" s="8">
        <v>300</v>
      </c>
      <c r="H67" s="8">
        <v>0</v>
      </c>
      <c r="I67" s="7">
        <v>5</v>
      </c>
    </row>
    <row r="68" spans="1:9" x14ac:dyDescent="0.2">
      <c r="A68" s="10"/>
      <c r="B68" s="11"/>
      <c r="C68" s="12"/>
      <c r="D68" s="13" t="s">
        <v>101</v>
      </c>
      <c r="E68" s="12"/>
      <c r="F68" s="12">
        <v>3</v>
      </c>
      <c r="G68" s="12">
        <v>350</v>
      </c>
      <c r="H68" s="12">
        <v>25</v>
      </c>
      <c r="I68" s="11">
        <v>5</v>
      </c>
    </row>
    <row r="69" spans="1:9" x14ac:dyDescent="0.2">
      <c r="A69" s="10"/>
      <c r="B69" s="11"/>
      <c r="C69" s="12"/>
      <c r="D69" s="13" t="s">
        <v>102</v>
      </c>
      <c r="E69" s="12">
        <v>3</v>
      </c>
      <c r="F69" s="12">
        <v>3</v>
      </c>
      <c r="G69" s="12">
        <v>850</v>
      </c>
      <c r="H69" s="12">
        <v>100</v>
      </c>
      <c r="I69" s="11">
        <f>1.8 * MIN(6, MAX(E69,F69)) + 0.45 * MIN(6, MIN(E69,F69)) + IF(E69&gt;6, (E69-6)*0.2) + IF(F69&gt;6, (F69-6)*0.2)</f>
        <v>6.75</v>
      </c>
    </row>
    <row r="70" spans="1:9" x14ac:dyDescent="0.2">
      <c r="A70" s="14"/>
      <c r="B70" s="15"/>
      <c r="C70" s="16"/>
      <c r="D70" s="17" t="s">
        <v>103</v>
      </c>
      <c r="E70" s="16">
        <v>7</v>
      </c>
      <c r="F70" s="16">
        <v>2</v>
      </c>
      <c r="G70" s="16">
        <v>1100</v>
      </c>
      <c r="H70" s="16">
        <v>0</v>
      </c>
      <c r="I70" s="15">
        <f>1.8 * MIN(6, MAX(E70,F70)) + 0.45 * MIN(6, MIN(E70,F70)) + IF(E70&gt;6, (E70-6)*0.2) + IF(F70&gt;6, (F70-6)*0.2)</f>
        <v>11.9</v>
      </c>
    </row>
    <row r="71" spans="1:9" x14ac:dyDescent="0.2">
      <c r="A71" s="6" t="s">
        <v>104</v>
      </c>
      <c r="B71" s="7" t="s">
        <v>11</v>
      </c>
      <c r="C71" s="8" t="s">
        <v>68</v>
      </c>
      <c r="D71" s="9" t="s">
        <v>105</v>
      </c>
      <c r="E71" s="8">
        <v>3</v>
      </c>
      <c r="F71" s="8"/>
      <c r="G71" s="8">
        <v>300</v>
      </c>
      <c r="H71" s="8">
        <v>0</v>
      </c>
      <c r="I71" s="7">
        <v>5</v>
      </c>
    </row>
    <row r="72" spans="1:9" x14ac:dyDescent="0.2">
      <c r="A72" s="10"/>
      <c r="B72" s="11"/>
      <c r="C72" s="12"/>
      <c r="D72" s="13" t="s">
        <v>106</v>
      </c>
      <c r="E72" s="12"/>
      <c r="F72" s="12">
        <v>3</v>
      </c>
      <c r="G72" s="12">
        <v>300</v>
      </c>
      <c r="H72" s="12">
        <v>0</v>
      </c>
      <c r="I72" s="11">
        <v>5</v>
      </c>
    </row>
    <row r="73" spans="1:9" x14ac:dyDescent="0.2">
      <c r="A73" s="10"/>
      <c r="B73" s="11"/>
      <c r="C73" s="12"/>
      <c r="D73" s="13" t="s">
        <v>107</v>
      </c>
      <c r="E73" s="12">
        <v>0</v>
      </c>
      <c r="F73" s="12">
        <v>4.5</v>
      </c>
      <c r="G73" s="12">
        <v>925</v>
      </c>
      <c r="H73" s="12">
        <v>0</v>
      </c>
      <c r="I73" s="11">
        <f>1.8 * MIN(6, MAX(E73,F73)) + 0.45 * MIN(6, MIN(E73,F73)) + IF(E73&gt;6, (E73-6)*0.2) + IF(F73&gt;6, (F73-6)*0.2)</f>
        <v>8.1</v>
      </c>
    </row>
    <row r="74" spans="1:9" x14ac:dyDescent="0.2">
      <c r="A74" s="14"/>
      <c r="B74" s="15"/>
      <c r="C74" s="16"/>
      <c r="D74" s="17" t="s">
        <v>108</v>
      </c>
      <c r="E74" s="16">
        <v>5</v>
      </c>
      <c r="F74" s="16">
        <v>3</v>
      </c>
      <c r="G74" s="16">
        <v>925</v>
      </c>
      <c r="H74" s="16">
        <v>0</v>
      </c>
      <c r="I74" s="15">
        <f>1.8 * MIN(6, MAX(E74,F74)) + 0.45 * MIN(6, MIN(E74,F74)) + IF(E74&gt;6, (E74-6)*0.2) + IF(F74&gt;6, (F74-6)*0.2)</f>
        <v>10.35</v>
      </c>
    </row>
    <row r="75" spans="1:9" x14ac:dyDescent="0.2">
      <c r="A75" s="6" t="s">
        <v>109</v>
      </c>
      <c r="B75" s="7" t="s">
        <v>18</v>
      </c>
      <c r="C75" s="18" t="s">
        <v>30</v>
      </c>
      <c r="D75" s="8" t="s">
        <v>110</v>
      </c>
      <c r="E75" s="8">
        <v>4</v>
      </c>
      <c r="F75" s="8"/>
      <c r="G75" s="8">
        <v>375</v>
      </c>
      <c r="H75" s="8">
        <v>0</v>
      </c>
      <c r="I75" s="8">
        <v>5</v>
      </c>
    </row>
    <row r="76" spans="1:9" x14ac:dyDescent="0.2">
      <c r="A76" s="10"/>
      <c r="B76" s="11"/>
      <c r="C76" s="19"/>
      <c r="D76" s="12" t="s">
        <v>111</v>
      </c>
      <c r="E76" s="12"/>
      <c r="F76" s="12">
        <v>3</v>
      </c>
      <c r="G76" s="12">
        <v>300</v>
      </c>
      <c r="H76" s="12">
        <v>25</v>
      </c>
      <c r="I76" s="12">
        <v>5</v>
      </c>
    </row>
    <row r="77" spans="1:9" x14ac:dyDescent="0.2">
      <c r="A77" s="10"/>
      <c r="B77" s="11"/>
      <c r="C77" s="19"/>
      <c r="D77" s="12" t="s">
        <v>112</v>
      </c>
      <c r="E77" s="12">
        <v>0</v>
      </c>
      <c r="F77" s="12">
        <v>3</v>
      </c>
      <c r="G77" s="12">
        <v>800</v>
      </c>
      <c r="H77" s="12">
        <v>0</v>
      </c>
      <c r="I77">
        <f>1.8 * MIN(6, MAX(E77,F77)) + 0.45 * MIN(6, MIN(E77,F77)) + IF(E77&gt;6, (E77-6)*0.2) + IF(F77&gt;6, (F77-6)*0.2)</f>
        <v>5.4</v>
      </c>
    </row>
    <row r="78" spans="1:9" x14ac:dyDescent="0.2">
      <c r="A78" s="14"/>
      <c r="B78" s="15"/>
      <c r="C78" s="20"/>
      <c r="D78" s="16" t="s">
        <v>113</v>
      </c>
      <c r="E78" s="16">
        <v>7</v>
      </c>
      <c r="F78" s="16">
        <v>2</v>
      </c>
      <c r="G78" s="16">
        <v>1050</v>
      </c>
      <c r="H78" s="16">
        <v>105</v>
      </c>
      <c r="I78" s="15">
        <f>1.8 * MIN(6, MAX(E78,F78)) + 0.45 * MIN(6, MIN(E78,F78)) + IF(E78&gt;6, (E78-6)*0.2) + IF(F78&gt;6, (F78-6)*0.2)</f>
        <v>11.9</v>
      </c>
    </row>
    <row r="79" spans="1:9" x14ac:dyDescent="0.2">
      <c r="A79" s="21" t="s">
        <v>114</v>
      </c>
      <c r="B79" s="7" t="s">
        <v>18</v>
      </c>
      <c r="C79" s="18" t="s">
        <v>74</v>
      </c>
      <c r="D79" s="8" t="s">
        <v>115</v>
      </c>
      <c r="E79" s="8">
        <v>3</v>
      </c>
      <c r="F79" s="8"/>
      <c r="G79" s="8">
        <v>300</v>
      </c>
      <c r="H79" s="8">
        <v>0</v>
      </c>
      <c r="I79" s="8">
        <v>5</v>
      </c>
    </row>
    <row r="80" spans="1:9" x14ac:dyDescent="0.2">
      <c r="A80" s="10"/>
      <c r="B80" s="11"/>
      <c r="C80" s="19"/>
      <c r="D80" s="12" t="s">
        <v>116</v>
      </c>
      <c r="E80" s="12"/>
      <c r="F80" s="12">
        <v>3</v>
      </c>
      <c r="G80" s="12">
        <v>325</v>
      </c>
      <c r="H80" s="12">
        <v>25</v>
      </c>
      <c r="I80" s="12">
        <v>5</v>
      </c>
    </row>
    <row r="81" spans="1:9" x14ac:dyDescent="0.2">
      <c r="A81" s="10"/>
      <c r="B81" s="11"/>
      <c r="C81" s="19"/>
      <c r="D81" s="12" t="s">
        <v>117</v>
      </c>
      <c r="E81" s="12">
        <v>0</v>
      </c>
      <c r="F81" s="12">
        <v>2</v>
      </c>
      <c r="G81" s="12">
        <v>975</v>
      </c>
      <c r="H81" s="12">
        <v>100</v>
      </c>
      <c r="I81">
        <f>1.8 * MIN(6, MAX(E81,F81)) + 0.45 * MIN(6, MIN(E81,F81)) + IF(E81&gt;6, (E81-6)*0.2) + IF(F81&gt;6, (F81-6)*0.2)</f>
        <v>3.6</v>
      </c>
    </row>
    <row r="82" spans="1:9" x14ac:dyDescent="0.2">
      <c r="A82" s="14"/>
      <c r="B82" s="15"/>
      <c r="C82" s="20"/>
      <c r="D82" s="16" t="s">
        <v>118</v>
      </c>
      <c r="E82" s="16">
        <v>5</v>
      </c>
      <c r="F82" s="16">
        <v>2</v>
      </c>
      <c r="G82" s="16">
        <v>950</v>
      </c>
      <c r="H82" s="16">
        <v>0</v>
      </c>
      <c r="I82" s="15">
        <f>1.8 * MIN(6, MAX(E82,F82)) + 0.45 * MIN(6, MIN(E82,F82)) + IF(E82&gt;6, (E82-6)*0.2) + IF(F82&gt;6, (F82-6)*0.2)</f>
        <v>9.9</v>
      </c>
    </row>
    <row r="83" spans="1:9" x14ac:dyDescent="0.2">
      <c r="A83" s="12"/>
      <c r="B83" s="12"/>
      <c r="C83" s="29"/>
      <c r="D83" s="12"/>
      <c r="E83" s="12"/>
      <c r="F83" s="12"/>
      <c r="G83" s="12"/>
      <c r="H83" s="12"/>
      <c r="I83" s="12"/>
    </row>
    <row r="84" spans="1:9" x14ac:dyDescent="0.2">
      <c r="C84" t="s">
        <v>154</v>
      </c>
      <c r="D84" s="30" t="s">
        <v>155</v>
      </c>
    </row>
    <row r="85" spans="1:9" x14ac:dyDescent="0.2">
      <c r="A85" s="10" t="s">
        <v>10</v>
      </c>
      <c r="B85">
        <v>5</v>
      </c>
      <c r="C85">
        <v>0</v>
      </c>
      <c r="D85">
        <v>0</v>
      </c>
      <c r="G85" s="37"/>
    </row>
    <row r="86" spans="1:9" x14ac:dyDescent="0.2">
      <c r="A86" s="10" t="s">
        <v>17</v>
      </c>
      <c r="B86">
        <v>9</v>
      </c>
      <c r="C86">
        <v>0</v>
      </c>
      <c r="D86">
        <v>0</v>
      </c>
      <c r="G86" s="37"/>
    </row>
    <row r="87" spans="1:9" x14ac:dyDescent="0.2">
      <c r="A87" s="10" t="s">
        <v>23</v>
      </c>
      <c r="B87">
        <v>13</v>
      </c>
      <c r="C87">
        <v>0</v>
      </c>
      <c r="D87">
        <v>0</v>
      </c>
      <c r="G87" s="37"/>
    </row>
    <row r="88" spans="1:9" x14ac:dyDescent="0.2">
      <c r="A88" s="10" t="s">
        <v>29</v>
      </c>
      <c r="B88">
        <v>17</v>
      </c>
      <c r="C88">
        <v>5</v>
      </c>
      <c r="D88">
        <v>0</v>
      </c>
      <c r="G88" s="37"/>
    </row>
    <row r="89" spans="1:9" x14ac:dyDescent="0.2">
      <c r="A89" s="10" t="s">
        <v>35</v>
      </c>
      <c r="B89">
        <v>21</v>
      </c>
      <c r="C89">
        <v>0</v>
      </c>
      <c r="D89">
        <v>0</v>
      </c>
    </row>
    <row r="90" spans="1:9" x14ac:dyDescent="0.2">
      <c r="A90" s="10" t="s">
        <v>41</v>
      </c>
      <c r="B90">
        <v>25</v>
      </c>
      <c r="C90">
        <v>7.5</v>
      </c>
      <c r="D90">
        <v>0</v>
      </c>
    </row>
    <row r="91" spans="1:9" x14ac:dyDescent="0.2">
      <c r="A91" s="10" t="s">
        <v>46</v>
      </c>
      <c r="B91">
        <v>29</v>
      </c>
      <c r="C91">
        <v>5</v>
      </c>
      <c r="D91">
        <v>0</v>
      </c>
    </row>
    <row r="92" spans="1:9" x14ac:dyDescent="0.2">
      <c r="A92" s="10" t="s">
        <v>52</v>
      </c>
      <c r="B92">
        <v>33</v>
      </c>
      <c r="C92">
        <v>0</v>
      </c>
      <c r="D92">
        <v>0</v>
      </c>
    </row>
    <row r="93" spans="1:9" x14ac:dyDescent="0.2">
      <c r="A93" s="10" t="s">
        <v>57</v>
      </c>
      <c r="B93">
        <v>37</v>
      </c>
      <c r="C93">
        <v>0</v>
      </c>
      <c r="D93">
        <v>0</v>
      </c>
    </row>
    <row r="94" spans="1:9" x14ac:dyDescent="0.2">
      <c r="A94" s="10" t="s">
        <v>62</v>
      </c>
      <c r="B94">
        <v>41</v>
      </c>
      <c r="C94">
        <v>5</v>
      </c>
      <c r="D94">
        <v>0</v>
      </c>
    </row>
    <row r="95" spans="1:9" x14ac:dyDescent="0.2">
      <c r="A95" s="10" t="s">
        <v>67</v>
      </c>
      <c r="B95">
        <v>45</v>
      </c>
      <c r="C95">
        <v>0</v>
      </c>
      <c r="D95">
        <v>0</v>
      </c>
    </row>
    <row r="96" spans="1:9" x14ac:dyDescent="0.2">
      <c r="A96" s="10" t="s">
        <v>73</v>
      </c>
      <c r="B96">
        <v>49</v>
      </c>
      <c r="C96">
        <v>0</v>
      </c>
      <c r="D96">
        <v>0</v>
      </c>
    </row>
    <row r="97" spans="1:4" x14ac:dyDescent="0.2">
      <c r="A97" s="10" t="s">
        <v>79</v>
      </c>
      <c r="B97">
        <v>53</v>
      </c>
      <c r="C97">
        <v>0</v>
      </c>
      <c r="D97">
        <v>0</v>
      </c>
    </row>
    <row r="98" spans="1:4" x14ac:dyDescent="0.2">
      <c r="A98" s="10" t="s">
        <v>84</v>
      </c>
      <c r="B98">
        <v>57</v>
      </c>
      <c r="C98">
        <v>0</v>
      </c>
      <c r="D98">
        <v>5</v>
      </c>
    </row>
    <row r="99" spans="1:4" x14ac:dyDescent="0.2">
      <c r="A99" s="10" t="s">
        <v>89</v>
      </c>
      <c r="B99">
        <v>61</v>
      </c>
      <c r="C99">
        <v>0</v>
      </c>
      <c r="D99">
        <v>0</v>
      </c>
    </row>
    <row r="100" spans="1:4" x14ac:dyDescent="0.2">
      <c r="A100" s="10" t="s">
        <v>94</v>
      </c>
      <c r="B100">
        <v>65</v>
      </c>
      <c r="C100">
        <v>0</v>
      </c>
      <c r="D100">
        <v>0</v>
      </c>
    </row>
    <row r="101" spans="1:4" x14ac:dyDescent="0.2">
      <c r="A101" s="10" t="s">
        <v>99</v>
      </c>
      <c r="B101">
        <v>69</v>
      </c>
      <c r="C101">
        <v>0</v>
      </c>
      <c r="D101">
        <v>0</v>
      </c>
    </row>
    <row r="102" spans="1:4" x14ac:dyDescent="0.2">
      <c r="A102" s="10" t="s">
        <v>104</v>
      </c>
      <c r="B102">
        <v>73</v>
      </c>
      <c r="C102">
        <v>0</v>
      </c>
      <c r="D102">
        <v>0</v>
      </c>
    </row>
    <row r="103" spans="1:4" x14ac:dyDescent="0.2">
      <c r="A103" s="10" t="s">
        <v>109</v>
      </c>
      <c r="B103">
        <v>77</v>
      </c>
      <c r="C103">
        <v>0</v>
      </c>
      <c r="D103">
        <v>0</v>
      </c>
    </row>
    <row r="104" spans="1:4" x14ac:dyDescent="0.2">
      <c r="A104" s="3" t="s">
        <v>114</v>
      </c>
      <c r="B104">
        <v>81</v>
      </c>
      <c r="C104">
        <v>0</v>
      </c>
      <c r="D10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Calculator</vt:lpstr>
      <vt:lpstr>Races</vt:lpstr>
      <vt:lpstr>DefSpells</vt:lpstr>
      <vt:lpstr>OffSpells</vt:lpstr>
      <vt:lpstr>races</vt:lpstr>
      <vt:lpstr>Techs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Yami</cp:lastModifiedBy>
  <dcterms:created xsi:type="dcterms:W3CDTF">2019-11-16T17:22:27Z</dcterms:created>
  <dcterms:modified xsi:type="dcterms:W3CDTF">2020-06-28T02:31:55Z</dcterms:modified>
</cp:coreProperties>
</file>